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D:\diadem\IIHS Scripts\Crash\Side\"/>
    </mc:Choice>
  </mc:AlternateContent>
  <bookViews>
    <workbookView xWindow="15" yWindow="0" windowWidth="28800" windowHeight="14685" tabRatio="824" activeTab="2"/>
  </bookViews>
  <sheets>
    <sheet name="Rating Chart" sheetId="162" r:id="rId1"/>
    <sheet name="Ratings Chart Data" sheetId="163" state="hidden" r:id="rId2"/>
    <sheet name="Driver Summary Sheet" sheetId="103" r:id="rId3"/>
    <sheet name="Passenger Summary Sheet" sheetId="161" r:id="rId4"/>
    <sheet name="Export From DIAdem" sheetId="166" r:id="rId5"/>
    <sheet name="Channel Comments" sheetId="164" state="hidden" r:id="rId6"/>
    <sheet name="Channel Comment Data Sheet" sheetId="165" state="hidden" r:id="rId7"/>
    <sheet name="Module1" sheetId="4" state="veryHidden" r:id=""/>
  </sheets>
  <definedNames>
    <definedName name="BarrierMake">'Export From DIAdem'!$B$5</definedName>
    <definedName name="BarrierSerial">'Export From DIAdem'!$C$5</definedName>
    <definedName name="Channel_locations">'Channel Comment Data Sheet'!$B$3:$B$17</definedName>
    <definedName name="Channel_measure">'Channel Comment Data Sheet'!$C$3:$C$12</definedName>
    <definedName name="d_AvgRib_d">'Driver Summary Sheet'!$D$20</definedName>
    <definedName name="d_Femur_APM">'Driver Summary Sheet'!$D$37</definedName>
    <definedName name="d_Femur_APM_t1">'Driver Summary Sheet'!$E$37</definedName>
    <definedName name="d_Femur_APM_t2">'Driver Summary Sheet'!$F$37</definedName>
    <definedName name="d_Femur_LMF">'Driver Summary Sheet'!$D$35</definedName>
    <definedName name="d_Femur_LMF_t1">'Driver Summary Sheet'!$E$35</definedName>
    <definedName name="d_Femur_LMF_t2">'Driver Summary Sheet'!$F$35</definedName>
    <definedName name="d_Femur_LMM">'Driver Summary Sheet'!$D$36</definedName>
    <definedName name="d_Femur_LMM_t1">'Driver Summary Sheet'!$E$36</definedName>
    <definedName name="d_Femur_LMM_t2">'Driver Summary Sheet'!$F$36</definedName>
    <definedName name="d_Head_RG">'Driver Summary Sheet'!$D$4</definedName>
    <definedName name="d_Head_RG_t1">'Driver Summary Sheet'!$E$4</definedName>
    <definedName name="d_Head_RG3ms">'Driver Summary Sheet'!$D$5</definedName>
    <definedName name="d_Head_RG3ms_t1">'Driver Summary Sheet'!$E$5</definedName>
    <definedName name="d_Head_RG3ms_t2">'Driver Summary Sheet'!$F$5</definedName>
    <definedName name="d_HIC15">'Driver Summary Sheet'!$D$6</definedName>
    <definedName name="d_HIC15_t1">'Driver Summary Sheet'!$E$6</definedName>
    <definedName name="d_HIC15_t2">'Driver Summary Sheet'!$F$6</definedName>
    <definedName name="d_Neck_APF">'Driver Summary Sheet'!$D$7</definedName>
    <definedName name="d_Neck_APF_t1">'Driver Summary Sheet'!$E$7</definedName>
    <definedName name="d_Neck_Comp">'Driver Summary Sheet'!$D$10</definedName>
    <definedName name="d_Neck_Comp_t1">'Driver Summary Sheet'!$E$10</definedName>
    <definedName name="d_Neck_LMF">'Driver Summary Sheet'!$D$8</definedName>
    <definedName name="d_Neck_LMF_t1">'Driver Summary Sheet'!$E$8</definedName>
    <definedName name="d_Neck_Tens">'Driver Summary Sheet'!$D$9</definedName>
    <definedName name="d_Neck_Tens_t1">'Driver Summary Sheet'!$E$9</definedName>
    <definedName name="d_Neck_XM">'Driver Summary Sheet'!$D$11</definedName>
    <definedName name="d_Neck_XM_t1">'Driver Summary Sheet'!$E$11</definedName>
    <definedName name="d_Neck_ZM">'Driver Summary Sheet'!$D$12</definedName>
    <definedName name="d_Neck_ZM_t1">'Driver Summary Sheet'!$E$12</definedName>
    <definedName name="d_Pelvis_AF">'Driver Summary Sheet'!$D$33</definedName>
    <definedName name="d_Pelvis_AF_t1">'Driver Summary Sheet'!$E$33</definedName>
    <definedName name="d_Pelvis_CF">'Driver Summary Sheet'!$D$34</definedName>
    <definedName name="d_Pelvis_CF_t1">'Driver Summary Sheet'!$E$34</definedName>
    <definedName name="d_Pelvis_IF">'Driver Summary Sheet'!$D$32</definedName>
    <definedName name="d_Pelvis_IF_t1">'Driver Summary Sheet'!$E$32</definedName>
    <definedName name="d_Pelvis_YG">'Driver Summary Sheet'!$D$31</definedName>
    <definedName name="d_Pelvis_YG_t1">'Driver Summary Sheet'!$E$31</definedName>
    <definedName name="d_Rib1_d">'Driver Summary Sheet'!$D$15</definedName>
    <definedName name="d_Rib1_d_t1">'Driver Summary Sheet'!$E$15</definedName>
    <definedName name="d_Rib1_dr">'Driver Summary Sheet'!$D$21</definedName>
    <definedName name="d_Rib1_dr_t1">'Driver Summary Sheet'!$E$21</definedName>
    <definedName name="d_Rib1_VC">'Driver Summary Sheet'!$D$26</definedName>
    <definedName name="d_Rib1_VC_t1">'Driver Summary Sheet'!$E$26</definedName>
    <definedName name="d_Rib2_d">'Driver Summary Sheet'!$D$16</definedName>
    <definedName name="d_Rib2_d_t1">'Driver Summary Sheet'!$E$16</definedName>
    <definedName name="d_Rib2_dr">'Driver Summary Sheet'!$D$22</definedName>
    <definedName name="d_Rib2_dr_t1">'Driver Summary Sheet'!$E$22</definedName>
    <definedName name="d_Rib2_VC">'Driver Summary Sheet'!$D$27</definedName>
    <definedName name="d_Rib2_VC_t1">'Driver Summary Sheet'!$E$27</definedName>
    <definedName name="d_Rib3_d">'Driver Summary Sheet'!$D$17</definedName>
    <definedName name="d_Rib3_d_t1">'Driver Summary Sheet'!$E$17</definedName>
    <definedName name="d_Rib3_dr">'Driver Summary Sheet'!$D$23</definedName>
    <definedName name="d_Rib3_dr_t1">'Driver Summary Sheet'!$E$23</definedName>
    <definedName name="d_Rib3_VC">'Driver Summary Sheet'!$D$28</definedName>
    <definedName name="d_Rib3_VC_t1">'Driver Summary Sheet'!$E$28</definedName>
    <definedName name="d_Rib4_d">'Driver Summary Sheet'!$D$18</definedName>
    <definedName name="d_Rib4_d_t1">'Driver Summary Sheet'!$E$18</definedName>
    <definedName name="d_Rib4_dr">'Driver Summary Sheet'!$D$24</definedName>
    <definedName name="d_Rib4_dr_t1">'Driver Summary Sheet'!$E$24</definedName>
    <definedName name="d_Rib4_VC">'Driver Summary Sheet'!$D$29</definedName>
    <definedName name="d_Rib4_VC_t1">'Driver Summary Sheet'!$E$29</definedName>
    <definedName name="d_Rib5_d">'Driver Summary Sheet'!$D$19</definedName>
    <definedName name="d_Rib5_d_t1">'Driver Summary Sheet'!$E$19</definedName>
    <definedName name="d_Rib5_dr">'Driver Summary Sheet'!$D$25</definedName>
    <definedName name="d_Rib5_dr_t1">'Driver Summary Sheet'!$E$25</definedName>
    <definedName name="d_Rib5_VC">'Driver Summary Sheet'!$D$30</definedName>
    <definedName name="d_Rib5_VC_t1">'Driver Summary Sheet'!$E$30</definedName>
    <definedName name="d_Shldr_d">'Driver Summary Sheet'!$D$13</definedName>
    <definedName name="d_Shldr_d_t1">'Driver Summary Sheet'!$E$13</definedName>
    <definedName name="d_Shldr_F">'Driver Summary Sheet'!$D$14</definedName>
    <definedName name="d_Shldr_F_t1">'Driver Summary Sheet'!$E$14</definedName>
    <definedName name="DoorOpening">'Export From DIAdem'!$C$40</definedName>
    <definedName name="DriverChannelComments">'Export From DIAdem'!$C$45</definedName>
    <definedName name="DriverEvent_1">'Export From DIAdem'!$B$10</definedName>
    <definedName name="DriverEvent_10">'Export From DIAdem'!$B$19</definedName>
    <definedName name="DriverEvent_11">'Export From DIAdem'!$B$20</definedName>
    <definedName name="DriverEvent_12">'Export From DIAdem'!$B$21</definedName>
    <definedName name="DriverEvent_13">'Export From DIAdem'!$B$22</definedName>
    <definedName name="DriverEvent_14">'Export From DIAdem'!$B$23</definedName>
    <definedName name="DriverEvent_15">'Export From DIAdem'!$B$24</definedName>
    <definedName name="DriverEvent_2">'Export From DIAdem'!$B$11</definedName>
    <definedName name="DriverEvent_3">'Export From DIAdem'!$B$12</definedName>
    <definedName name="DriverEvent_4">'Export From DIAdem'!$B$13</definedName>
    <definedName name="DriverEvent_5">'Export From DIAdem'!$B$14</definedName>
    <definedName name="DriverEvent_6">'Export From DIAdem'!$B$15</definedName>
    <definedName name="DriverEvent_7">'Export From DIAdem'!$B$16</definedName>
    <definedName name="DriverEvent_8">'Export From DIAdem'!$B$17</definedName>
    <definedName name="DriverEvent_9">'Export From DIAdem'!$B$18</definedName>
    <definedName name="DriverEventTime_1">'Export From DIAdem'!$E$10</definedName>
    <definedName name="DriverEventTime_10">'Export From DIAdem'!$E$19</definedName>
    <definedName name="DriverEventTime_11">'Export From DIAdem'!$E$20</definedName>
    <definedName name="DriverEventTime_12">'Export From DIAdem'!$E$21</definedName>
    <definedName name="DriverEventTime_13">'Export From DIAdem'!$E$22</definedName>
    <definedName name="DriverEventTime_14">'Export From DIAdem'!$E$23</definedName>
    <definedName name="DriverEventTime_15">'Export From DIAdem'!$E$24</definedName>
    <definedName name="DriverEventTime_2">'Export From DIAdem'!$E$11</definedName>
    <definedName name="DriverEventTime_3">'Export From DIAdem'!$E$12</definedName>
    <definedName name="DriverEventTime_4">'Export From DIAdem'!$E$13</definedName>
    <definedName name="DriverEventTime_5">'Export From DIAdem'!$E$14</definedName>
    <definedName name="DriverEventTime_6">'Export From DIAdem'!$E$15</definedName>
    <definedName name="DriverEventTime_7">'Export From DIAdem'!$E$16</definedName>
    <definedName name="DriverEventTime_8">'Export From DIAdem'!$E$17</definedName>
    <definedName name="DriverEventTime_9">'Export From DIAdem'!$E$18</definedName>
    <definedName name="DriverHeadProtection">'Export From DIAdem'!$C$35</definedName>
    <definedName name="DriverPelvisLoadingTime">'Export From DIAdem'!$E$29</definedName>
    <definedName name="DriverShoulderBottoming">'Export From DIAdem'!$C$36</definedName>
    <definedName name="DriverShoulderLoadingTime">'Export From DIAdem'!$E$31</definedName>
    <definedName name="DriverTorsoLoadingTime">'Export From DIAdem'!$E$30</definedName>
    <definedName name="Dummy_position">'Channel Comment Data Sheet'!$A$3:$A$4</definedName>
    <definedName name="ElectricShock">'Export From DIAdem'!$C$42</definedName>
    <definedName name="folder_name">'Ratings Chart Data'!$B$20</definedName>
    <definedName name="FolderName">'Ratings Chart Data'!$B$22</definedName>
    <definedName name="FuelLeak">'Export From DIAdem'!$C$41</definedName>
    <definedName name="ImpactHorizontal">'Export From DIAdem'!$B$3</definedName>
    <definedName name="ImpactVelocity">'Export From DIAdem'!$B$2</definedName>
    <definedName name="ImpactVertical">'Export From DIAdem'!$C$3</definedName>
    <definedName name="mdb_ActualSpeed">'Driver Summary Sheet'!$B$3</definedName>
    <definedName name="mdb_Long_dv">'Driver Summary Sheet'!$C$42</definedName>
    <definedName name="mdb_Long_dv_t1">'Driver Summary Sheet'!$D$42</definedName>
    <definedName name="p_AvgRib_d">'Passenger Summary Sheet'!$D$20</definedName>
    <definedName name="p_Femur_APM">'Passenger Summary Sheet'!$D$37</definedName>
    <definedName name="p_Femur_APM_t1">'Passenger Summary Sheet'!$E$37</definedName>
    <definedName name="p_Femur_APM_t2">'Passenger Summary Sheet'!$F$37</definedName>
    <definedName name="p_Femur_LMF">'Passenger Summary Sheet'!$D$35</definedName>
    <definedName name="p_Femur_LMF_t1">'Passenger Summary Sheet'!$E$35</definedName>
    <definedName name="p_Femur_LMF_t2">'Passenger Summary Sheet'!$F$35</definedName>
    <definedName name="p_Femur_LMM">'Passenger Summary Sheet'!$D$36</definedName>
    <definedName name="p_Femur_LMM_t1">'Passenger Summary Sheet'!$E$36</definedName>
    <definedName name="p_Femur_LMM_t2">'Passenger Summary Sheet'!$F$36</definedName>
    <definedName name="p_Head_RG">'Passenger Summary Sheet'!$D$4</definedName>
    <definedName name="p_Head_RG_t1">'Passenger Summary Sheet'!$E$4</definedName>
    <definedName name="p_Head_RG3ms">'Passenger Summary Sheet'!$D$5</definedName>
    <definedName name="p_Head_RG3ms_t1">'Passenger Summary Sheet'!$E$5</definedName>
    <definedName name="p_Head_RG3ms_t2">'Passenger Summary Sheet'!$F$5</definedName>
    <definedName name="p_Heap_RG">'Passenger Summary Sheet'!$D$4</definedName>
    <definedName name="p_Heap_RG3ms">'Passenger Summary Sheet'!$D$5</definedName>
    <definedName name="p_HIC15">'Passenger Summary Sheet'!$D$6</definedName>
    <definedName name="p_HIC15_t1">'Passenger Summary Sheet'!$E$6</definedName>
    <definedName name="p_HIC15_t2">'Passenger Summary Sheet'!$F$6</definedName>
    <definedName name="p_Neck_APF">'Passenger Summary Sheet'!$D$7</definedName>
    <definedName name="p_Neck_APF_t1">'Passenger Summary Sheet'!$E$7</definedName>
    <definedName name="p_Neck_Comp">'Passenger Summary Sheet'!$D$10</definedName>
    <definedName name="p_Neck_Comp_t1">'Passenger Summary Sheet'!$E$10</definedName>
    <definedName name="p_Neck_LMF">'Passenger Summary Sheet'!$D$8</definedName>
    <definedName name="p_Neck_LMF_t1">'Passenger Summary Sheet'!$E$8</definedName>
    <definedName name="p_Neck_Tens">'Passenger Summary Sheet'!$D$9</definedName>
    <definedName name="p_Neck_Tens_t1">'Passenger Summary Sheet'!$E$9</definedName>
    <definedName name="p_Neck_XM">'Passenger Summary Sheet'!$D$11</definedName>
    <definedName name="p_Neck_XM_t1">'Passenger Summary Sheet'!$E$11</definedName>
    <definedName name="p_Neck_ZM">'Passenger Summary Sheet'!$D$12</definedName>
    <definedName name="p_Neck_ZM_t1">'Passenger Summary Sheet'!$E$12</definedName>
    <definedName name="p_Pelvis_AF">'Passenger Summary Sheet'!$D$33</definedName>
    <definedName name="p_Pelvis_AF_t1">'Passenger Summary Sheet'!$E$33</definedName>
    <definedName name="p_Pelvis_CF">'Passenger Summary Sheet'!$D$34</definedName>
    <definedName name="p_Pelvis_CF_t1">'Passenger Summary Sheet'!$E$34</definedName>
    <definedName name="p_Pelvis_IF">'Passenger Summary Sheet'!$D$32</definedName>
    <definedName name="p_Pelvis_IF_t1">'Passenger Summary Sheet'!$E$32</definedName>
    <definedName name="p_Pelvis_YG">'Passenger Summary Sheet'!$D$31</definedName>
    <definedName name="p_Pelvis_YG_t1">'Passenger Summary Sheet'!$E$31</definedName>
    <definedName name="p_Rib1_d">'Passenger Summary Sheet'!$D$15</definedName>
    <definedName name="p_Rib1_d_t1">'Passenger Summary Sheet'!$E$15</definedName>
    <definedName name="p_Rib1_dr">'Passenger Summary Sheet'!$D$21</definedName>
    <definedName name="p_Rib1_dr_t1">'Passenger Summary Sheet'!$E$21</definedName>
    <definedName name="p_Rib1_VC">'Passenger Summary Sheet'!$D$26</definedName>
    <definedName name="p_Rib1_VC_t1">'Passenger Summary Sheet'!$E$26</definedName>
    <definedName name="p_Rib2_d">'Passenger Summary Sheet'!$D$16</definedName>
    <definedName name="p_Rib2_d_t1">'Passenger Summary Sheet'!$E$16</definedName>
    <definedName name="p_Rib2_dr">'Passenger Summary Sheet'!$D$22</definedName>
    <definedName name="p_Rib2_dr_t1">'Passenger Summary Sheet'!$E$22</definedName>
    <definedName name="p_Rib2_VC">'Passenger Summary Sheet'!$D$27</definedName>
    <definedName name="p_Rib2_VC_t1">'Passenger Summary Sheet'!$E$27</definedName>
    <definedName name="p_Rib3_d">'Passenger Summary Sheet'!$D$17</definedName>
    <definedName name="p_Rib3_d_t1">'Passenger Summary Sheet'!$E$17</definedName>
    <definedName name="p_Rib3_dr">'Passenger Summary Sheet'!$D$23</definedName>
    <definedName name="p_Rib3_dr_t1">'Passenger Summary Sheet'!$E$23</definedName>
    <definedName name="p_Rib3_VC">'Passenger Summary Sheet'!$D$28</definedName>
    <definedName name="p_Rib3_VC_t1">'Passenger Summary Sheet'!$E$28</definedName>
    <definedName name="p_Rib4_d">'Passenger Summary Sheet'!$D$18</definedName>
    <definedName name="p_Rib4_d_t1">'Passenger Summary Sheet'!$E$18</definedName>
    <definedName name="p_Rib4_dr">'Passenger Summary Sheet'!$D$24</definedName>
    <definedName name="p_Rib4_dr_t1">'Passenger Summary Sheet'!$E$24</definedName>
    <definedName name="p_Rib4_VC">'Passenger Summary Sheet'!$D$29</definedName>
    <definedName name="p_Rib4_VC_t1">'Passenger Summary Sheet'!$E$29</definedName>
    <definedName name="p_Rib5_d">'Passenger Summary Sheet'!$D$19</definedName>
    <definedName name="p_Rib5_d_t1">'Passenger Summary Sheet'!$E$19</definedName>
    <definedName name="p_Rib5_dr">'Passenger Summary Sheet'!$D$25</definedName>
    <definedName name="p_Rib5_dr_t1">'Passenger Summary Sheet'!$E$25</definedName>
    <definedName name="p_Rib5_VC">'Passenger Summary Sheet'!$D$30</definedName>
    <definedName name="p_Rib5_VC_t1">'Passenger Summary Sheet'!$E$30</definedName>
    <definedName name="p_Shldr_d">'Passenger Summary Sheet'!$D$13</definedName>
    <definedName name="p_Shldr_d_t1">'Passenger Summary Sheet'!$E$13</definedName>
    <definedName name="p_Shldr_F">'Passenger Summary Sheet'!$D$14</definedName>
    <definedName name="p_Shldr_F_t1">'Passenger Summary Sheet'!$E$14</definedName>
    <definedName name="PassengerChannelComments">'Export From DIAdem'!$C$48</definedName>
    <definedName name="PassengerEvent_1">'Export From DIAdem'!$H$10</definedName>
    <definedName name="PassengerEvent_10">'Export From DIAdem'!$H$19</definedName>
    <definedName name="PassengerEvent_11">'Export From DIAdem'!$H$20</definedName>
    <definedName name="PassengerEvent_12">'Export From DIAdem'!$H$21</definedName>
    <definedName name="PassengerEvent_13">'Export From DIAdem'!$H$22</definedName>
    <definedName name="PassengerEvent_14">'Export From DIAdem'!$H$23</definedName>
    <definedName name="PassengerEvent_15">'Export From DIAdem'!$H$24</definedName>
    <definedName name="PassengerEvent_2">'Export From DIAdem'!$H$11</definedName>
    <definedName name="PassengerEvent_3">'Export From DIAdem'!$H$12</definedName>
    <definedName name="PassengerEvent_4">'Export From DIAdem'!$H$13</definedName>
    <definedName name="PassengerEvent_5">'Export From DIAdem'!$H$14</definedName>
    <definedName name="PassengerEvent_6">'Export From DIAdem'!$H$15</definedName>
    <definedName name="PassengerEvent_7">'Export From DIAdem'!$H$16</definedName>
    <definedName name="PassengerEvent_8">'Export From DIAdem'!$H$17</definedName>
    <definedName name="PassengerEvent_9">'Export From DIAdem'!$H$18</definedName>
    <definedName name="PassengerEventTime_1">'Export From DIAdem'!$I$10</definedName>
    <definedName name="PassengerEventTime_10">'Export From DIAdem'!$I$19</definedName>
    <definedName name="PassengerEventTime_11">'Export From DIAdem'!$I$20</definedName>
    <definedName name="PassengerEventTime_12">'Export From DIAdem'!$I$21</definedName>
    <definedName name="PassengerEventTime_13">'Export From DIAdem'!$I$22</definedName>
    <definedName name="PassengerEventTime_14">'Export From DIAdem'!$I$23</definedName>
    <definedName name="PassengerEventTime_15">'Export From DIAdem'!$I$24</definedName>
    <definedName name="PassengerEventTime_2">'Export From DIAdem'!$I$11</definedName>
    <definedName name="PassengerEventTime_3">'Export From DIAdem'!$I$12</definedName>
    <definedName name="PassengerEventTime_4">'Export From DIAdem'!$I$13</definedName>
    <definedName name="PassengerEventTime_5">'Export From DIAdem'!$I$14</definedName>
    <definedName name="PassengerEventTime_6">'Export From DIAdem'!$I$15</definedName>
    <definedName name="PassengerEventTime_7">'Export From DIAdem'!$I$16</definedName>
    <definedName name="PassengerEventTime_8">'Export From DIAdem'!$I$17</definedName>
    <definedName name="PassengerEventTime_9">'Export From DIAdem'!$I$18</definedName>
    <definedName name="PassengerHeadProtection">'Export From DIAdem'!$C$37</definedName>
    <definedName name="PassengerPelvisLoadingTime">'Export From DIAdem'!$I$29</definedName>
    <definedName name="PassengerShoulderBottoming">'Export From DIAdem'!$C$38</definedName>
    <definedName name="PassengerShoulderLoadingTime">'Export From DIAdem'!$I$31</definedName>
    <definedName name="PassengerTorsoLoadingTime">'Export From DIAdem'!$I$30</definedName>
    <definedName name="_xlnm.Print_Area" localSheetId="2">'Driver Summary Sheet'!$A$1:$G$46</definedName>
    <definedName name="_xlnm.Print_Area" localSheetId="3">'Passenger Summary Sheet'!$A$1:$G$48</definedName>
    <definedName name="StructuralFailure">'Export From DIAdem'!$C$39</definedName>
    <definedName name="TestWeightLF">'Export From DIAdem'!$B$4</definedName>
    <definedName name="TestWeightLR">'Export From DIAdem'!$D$4</definedName>
    <definedName name="TestWeightRF">'Export From DIAdem'!$C$4</definedName>
    <definedName name="TestWeightRR">'Export From DIAdem'!$E$4</definedName>
    <definedName name="v_RFFloor_dv">'Driver Summary Sheet'!$C$43</definedName>
    <definedName name="v_RFFloor_dv_t1">'Driver Summary Sheet'!$D$43</definedName>
    <definedName name="v_RRFloor_dv">'Driver Summary Sheet'!$C$44</definedName>
    <definedName name="v_RRFloor_dv_t1">'Driver Summary Sheet'!$D$44</definedName>
  </definedNames>
  <calcPr calcId="162913"/>
</workbook>
</file>

<file path=xl/calcChain.xml><?xml version="1.0" encoding="utf-8"?>
<calcChain xmlns="http://schemas.openxmlformats.org/spreadsheetml/2006/main">
  <c r="B2" i="164" l="1"/>
  <c r="B1" i="164"/>
  <c r="B2" i="161"/>
  <c r="E6" i="163"/>
  <c r="F6" i="163" s="1"/>
  <c r="C6" i="163"/>
  <c r="D6" i="163" s="1"/>
  <c r="C3" i="163"/>
  <c r="D3" i="163" s="1"/>
  <c r="E9" i="163"/>
  <c r="F9" i="163" s="1"/>
  <c r="E8" i="163"/>
  <c r="F8" i="163" s="1"/>
  <c r="E7" i="163"/>
  <c r="F7" i="163" s="1"/>
  <c r="C9" i="163"/>
  <c r="D9" i="163" s="1"/>
  <c r="C8" i="163"/>
  <c r="D8" i="163" s="1"/>
  <c r="C7" i="163"/>
  <c r="D7" i="163" s="1"/>
  <c r="M6" i="163"/>
  <c r="M7" i="163"/>
  <c r="L7" i="163"/>
  <c r="K7" i="163"/>
  <c r="E3" i="163"/>
  <c r="F3" i="163" s="1"/>
  <c r="E15" i="163"/>
  <c r="F15" i="163" s="1"/>
  <c r="E14" i="163"/>
  <c r="F14" i="163" s="1"/>
  <c r="E13" i="163"/>
  <c r="F13" i="163" s="1"/>
  <c r="E12" i="163"/>
  <c r="F12" i="163" s="1"/>
  <c r="E11" i="163"/>
  <c r="F11" i="163" s="1"/>
  <c r="E10" i="163"/>
  <c r="F10" i="163" s="1"/>
  <c r="E5" i="163"/>
  <c r="F5" i="163" s="1"/>
  <c r="E4" i="163"/>
  <c r="F4" i="163" s="1"/>
  <c r="C13" i="163"/>
  <c r="D13" i="163" s="1"/>
  <c r="K13" i="163"/>
  <c r="L13" i="163"/>
  <c r="M13" i="163"/>
  <c r="C14" i="163"/>
  <c r="D14" i="163" s="1"/>
  <c r="K14" i="163"/>
  <c r="L14" i="163"/>
  <c r="M14" i="163"/>
  <c r="C15" i="163"/>
  <c r="D15" i="163" s="1"/>
  <c r="K15" i="163"/>
  <c r="L15" i="163"/>
  <c r="M15" i="163"/>
  <c r="C4" i="163"/>
  <c r="D4" i="163" s="1"/>
  <c r="C12" i="163"/>
  <c r="D12" i="163" s="1"/>
  <c r="K12" i="163"/>
  <c r="L12" i="163"/>
  <c r="M12" i="163"/>
  <c r="C11" i="163"/>
  <c r="D11" i="163" s="1"/>
  <c r="C10" i="163"/>
  <c r="D10" i="163" s="1"/>
  <c r="C5" i="163"/>
  <c r="D5" i="163" s="1"/>
  <c r="K4" i="163"/>
  <c r="M10" i="163"/>
  <c r="L10" i="163"/>
  <c r="K10" i="163"/>
  <c r="M11" i="163"/>
  <c r="L11" i="163"/>
  <c r="K11" i="163"/>
  <c r="M9" i="163"/>
  <c r="L9" i="163"/>
  <c r="K9" i="163"/>
  <c r="M8" i="163"/>
  <c r="L8" i="163"/>
  <c r="K8" i="163"/>
  <c r="M5" i="163"/>
  <c r="L5" i="163"/>
  <c r="K5" i="163"/>
  <c r="M4" i="163"/>
  <c r="L4" i="163"/>
  <c r="K3" i="163"/>
  <c r="L3" i="163"/>
  <c r="M3" i="163"/>
</calcChain>
</file>

<file path=xl/sharedStrings.xml><?xml version="1.0" encoding="utf-8"?>
<sst xmlns="http://schemas.openxmlformats.org/spreadsheetml/2006/main" count="224" uniqueCount="139">
  <si>
    <t>Test date:</t>
  </si>
  <si>
    <t>Actual Test Impact Speed (km/h):</t>
  </si>
  <si>
    <t>Reference Value</t>
  </si>
  <si>
    <t>Measured Value</t>
  </si>
  <si>
    <t>Head</t>
  </si>
  <si>
    <t>Resultant acceleration (g)</t>
  </si>
  <si>
    <t>Resultant acceleration (3ms clip, g)</t>
  </si>
  <si>
    <t>HIC15</t>
  </si>
  <si>
    <t>Neck</t>
  </si>
  <si>
    <t>Lateral acceleration (g)</t>
  </si>
  <si>
    <t>Created on:</t>
  </si>
  <si>
    <t xml:space="preserve">Ribs </t>
  </si>
  <si>
    <t>Rib 1 VC (m/s)</t>
  </si>
  <si>
    <t>Rib 3 VC (m/s)</t>
  </si>
  <si>
    <t>Rib 4 VC (m/s)</t>
  </si>
  <si>
    <t>Rib 5 VC (m/s)</t>
  </si>
  <si>
    <t>Rib 1 deflection rate (m/s)</t>
  </si>
  <si>
    <t>Rib 3 deflection rate (m/s)</t>
  </si>
  <si>
    <t>Rib 4 deflection rate (m/s)</t>
  </si>
  <si>
    <t>Rib 5 deflection rate (m/s)</t>
  </si>
  <si>
    <t>Pelvis</t>
  </si>
  <si>
    <t>Shoulder</t>
  </si>
  <si>
    <t>Lateral force (kN)</t>
  </si>
  <si>
    <t>Iliac force (kN)</t>
  </si>
  <si>
    <t>Rib 1 deflection (mm)</t>
  </si>
  <si>
    <t>Rib 3 deflection (mm)</t>
  </si>
  <si>
    <t>Rib 4 deflection (mm)</t>
  </si>
  <si>
    <t>Rib 5 deflection (mm)</t>
  </si>
  <si>
    <t>Lateral deflection (mm)</t>
  </si>
  <si>
    <t>Acetabulum force (kN)</t>
  </si>
  <si>
    <t>Tension (kN)</t>
  </si>
  <si>
    <t>Compression (kN)</t>
  </si>
  <si>
    <t>Rib 2 deflection (mm)</t>
  </si>
  <si>
    <t>Rib 2 deflection rate (m/s)</t>
  </si>
  <si>
    <t>Rib 2 VC (m/s)</t>
  </si>
  <si>
    <t>t1      (msec)</t>
  </si>
  <si>
    <t>t2      (msec)</t>
  </si>
  <si>
    <t>Driver data</t>
  </si>
  <si>
    <t>Combined Acetabulum and Ilium force (kN)</t>
  </si>
  <si>
    <t>Passenger data</t>
  </si>
  <si>
    <t>Driver</t>
  </si>
  <si>
    <t>Passenger</t>
  </si>
  <si>
    <t>Rating Boundary Values</t>
  </si>
  <si>
    <t>Normalized Boundaries</t>
  </si>
  <si>
    <t>As Measured</t>
  </si>
  <si>
    <t>Normal-
ized</t>
  </si>
  <si>
    <t>IARV</t>
  </si>
  <si>
    <t>G-A</t>
  </si>
  <si>
    <t>A-M</t>
  </si>
  <si>
    <t>M-P</t>
  </si>
  <si>
    <t>Graph Max</t>
  </si>
  <si>
    <t>Neck axial tension</t>
  </si>
  <si>
    <t>Neck axial compression</t>
  </si>
  <si>
    <t>Iliac force</t>
  </si>
  <si>
    <t>Acetabulum force</t>
  </si>
  <si>
    <t>X moment (Nm)</t>
  </si>
  <si>
    <t>Z moment (Nm)</t>
  </si>
  <si>
    <t>Combined acetabulum and ilium force</t>
  </si>
  <si>
    <t>Left Femur</t>
  </si>
  <si>
    <t xml:space="preserve">Femur L-M force </t>
  </si>
  <si>
    <t xml:space="preserve">Femur L-M moment </t>
  </si>
  <si>
    <t xml:space="preserve">Femur A-P moment </t>
  </si>
  <si>
    <t>±67</t>
  </si>
  <si>
    <t>±39</t>
  </si>
  <si>
    <t>Longitudinal delta-V (km/h)</t>
  </si>
  <si>
    <t>Right front floor lateral delta-V (km/h)</t>
  </si>
  <si>
    <t>Right rear floor lateral delta-V (km/h)</t>
  </si>
  <si>
    <t>t         (msec)</t>
  </si>
  <si>
    <t>±3.9</t>
  </si>
  <si>
    <t>±356</t>
  </si>
  <si>
    <t>Average rib deflection (mm)</t>
  </si>
  <si>
    <t>Peak torso deflection</t>
  </si>
  <si>
    <t>Torso deflection rate</t>
  </si>
  <si>
    <t>Torso V*C</t>
  </si>
  <si>
    <t>Average torso deflection</t>
  </si>
  <si>
    <t>Data channel location</t>
  </si>
  <si>
    <t>Data channel measurement</t>
  </si>
  <si>
    <t>Comment</t>
  </si>
  <si>
    <t>Data Channel locations</t>
  </si>
  <si>
    <t>Data Channel Measure</t>
  </si>
  <si>
    <t>A-P moment</t>
  </si>
  <si>
    <t>Deflection</t>
  </si>
  <si>
    <t>L-M moment</t>
  </si>
  <si>
    <t>X acceleration</t>
  </si>
  <si>
    <t>Y acceleration</t>
  </si>
  <si>
    <t>Z acceleration</t>
  </si>
  <si>
    <t>Dummy position</t>
  </si>
  <si>
    <t>Rear passenger</t>
  </si>
  <si>
    <t>Upper thoracic rib</t>
  </si>
  <si>
    <t>Middle thoracic rib</t>
  </si>
  <si>
    <t>Lower thoracic rib</t>
  </si>
  <si>
    <t>Upper abdominal rib</t>
  </si>
  <si>
    <t>Lower abdominal rib</t>
  </si>
  <si>
    <t>Pelvis (Acetabulum)</t>
  </si>
  <si>
    <t>Pelvis (Ilium)</t>
  </si>
  <si>
    <t>Femur</t>
  </si>
  <si>
    <t>Twist moment</t>
  </si>
  <si>
    <t>X force</t>
  </si>
  <si>
    <t>Y force</t>
  </si>
  <si>
    <t>Z force</t>
  </si>
  <si>
    <t>Spine (T1)</t>
  </si>
  <si>
    <t>Spine (T4)</t>
  </si>
  <si>
    <t>Spine (T12)</t>
  </si>
  <si>
    <t>Year Make Model</t>
  </si>
  <si>
    <t>TESTID</t>
  </si>
  <si>
    <t>Striking Vehicle: XXX</t>
  </si>
  <si>
    <t>Struck vehicle</t>
  </si>
  <si>
    <t>Striking vehicle</t>
  </si>
  <si>
    <t>X shear force (kN)</t>
  </si>
  <si>
    <t>Distal femur X moment (3ms clip, Nm)</t>
  </si>
  <si>
    <t>Y shear force (kN)</t>
  </si>
  <si>
    <t>Distal femur Y force (3ms clip, kN)</t>
  </si>
  <si>
    <t>Distal femur Y moment (3ms clip, Nm)</t>
  </si>
  <si>
    <t>Kinematic Events (Driver)</t>
  </si>
  <si>
    <t>Event Number</t>
  </si>
  <si>
    <t>Event Discription</t>
  </si>
  <si>
    <t>Event Time (ms)</t>
  </si>
  <si>
    <t>Kinematic Events (Passenger)</t>
  </si>
  <si>
    <t>Test Information</t>
  </si>
  <si>
    <t>Thorax Loading Times (Driver)</t>
  </si>
  <si>
    <t>Thorax Loading Times (Passenger)</t>
  </si>
  <si>
    <t>Location</t>
  </si>
  <si>
    <t>Loading Time (ms)</t>
  </si>
  <si>
    <t>Torso</t>
  </si>
  <si>
    <t>MDB Impact Velocity (kph)</t>
  </si>
  <si>
    <t>MDB Impact Location (cm)</t>
  </si>
  <si>
    <t>Barrier Manufacturer</t>
  </si>
  <si>
    <t>Test Weight (kg) LF/RF/LR/RR</t>
  </si>
  <si>
    <t>Downgrades</t>
  </si>
  <si>
    <t>Driver Head Protection</t>
  </si>
  <si>
    <t>Driver Shoulder Bottoming</t>
  </si>
  <si>
    <t>Passenger Head Protection</t>
  </si>
  <si>
    <t>Passenger Shoulder Bottoming</t>
  </si>
  <si>
    <t>Structural Failure</t>
  </si>
  <si>
    <t>Door Opening</t>
  </si>
  <si>
    <t>Fuel Leak</t>
  </si>
  <si>
    <t>Electric Shock Hazard</t>
  </si>
  <si>
    <t>Channel Comments (Driver)</t>
  </si>
  <si>
    <t>Channel Comments (Passenger)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</si>
</sst>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0"/>
  </numFmts>
  <fonts count="17">
    <font>
      <sz val="12"/>
      <name val="Arial"/>
    </font>
    <font>
      <sz val="12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Univers Condensed"/>
    </font>
    <font>
      <b/>
      <sz val="11"/>
      <name val="Univers Condensed"/>
      <family val="2"/>
    </font>
    <font>
      <sz val="11"/>
      <name val="Univers Condensed"/>
      <family val="2"/>
    </font>
    <font>
      <b/>
      <sz val="10"/>
      <name val="Univers Condensed"/>
      <family val="2"/>
    </font>
    <font>
      <sz val="10"/>
      <name val="Univers Condensed"/>
      <family val="2"/>
    </font>
    <font>
      <b/>
      <sz val="10"/>
      <name val="Univers Condensed"/>
    </font>
    <font>
      <sz val="11"/>
      <name val="Univers Condensed"/>
    </font>
    <font>
      <sz val="9"/>
      <name val="Univers Condensed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/>
    <xf numFmtId="0" fontId="1" fillId="0" borderId="0"/>
    <xf numFmtId="0" fontId="4" fillId="0" borderId="0"/>
    <xf numFmtId="0" fontId="5" fillId="0" borderId="0"/>
  </cellStyleXfs>
  <cellXfs count="237">
    <xf numFmtId="0" fontId="0" fillId="0" borderId="0" xfId="0"/>
    <xf numFmtId="0" fontId="6" fillId="0" borderId="0" xfId="4" applyFont="1"/>
    <xf numFmtId="0" fontId="7" fillId="0" borderId="0" xfId="4" applyFont="1"/>
    <xf numFmtId="0" fontId="7" fillId="0" borderId="0" xfId="4" applyFont="1" applyAlignment="1">
      <alignment horizontal="right"/>
    </xf>
    <xf numFmtId="0" fontId="9" fillId="0" borderId="0" xfId="4" applyFont="1" applyBorder="1"/>
    <xf numFmtId="0" fontId="8" fillId="0" borderId="8" xfId="4" applyFont="1" applyBorder="1" applyAlignment="1">
      <alignment horizontal="center" wrapText="1"/>
    </xf>
    <xf numFmtId="0" fontId="9" fillId="0" borderId="0" xfId="4" applyFont="1"/>
    <xf numFmtId="0" fontId="8" fillId="0" borderId="9" xfId="4" applyFont="1" applyBorder="1"/>
    <xf numFmtId="0" fontId="9" fillId="0" borderId="10" xfId="4" applyFont="1" applyBorder="1"/>
    <xf numFmtId="0" fontId="9" fillId="0" borderId="9" xfId="4" applyFont="1" applyBorder="1" applyAlignment="1">
      <alignment horizontal="right"/>
    </xf>
    <xf numFmtId="1" fontId="9" fillId="0" borderId="11" xfId="4" applyNumberFormat="1" applyFont="1" applyBorder="1"/>
    <xf numFmtId="1" fontId="9" fillId="0" borderId="9" xfId="4" applyNumberFormat="1" applyFont="1" applyBorder="1"/>
    <xf numFmtId="0" fontId="5" fillId="0" borderId="0" xfId="4"/>
    <xf numFmtId="0" fontId="8" fillId="0" borderId="12" xfId="4" applyFont="1" applyBorder="1"/>
    <xf numFmtId="0" fontId="9" fillId="0" borderId="12" xfId="4" applyFont="1" applyBorder="1" applyAlignment="1">
      <alignment horizontal="right"/>
    </xf>
    <xf numFmtId="1" fontId="9" fillId="0" borderId="12" xfId="4" applyNumberFormat="1" applyFont="1" applyBorder="1"/>
    <xf numFmtId="0" fontId="9" fillId="0" borderId="13" xfId="4" applyFont="1" applyBorder="1"/>
    <xf numFmtId="0" fontId="8" fillId="0" borderId="14" xfId="4" applyFont="1" applyBorder="1"/>
    <xf numFmtId="0" fontId="9" fillId="0" borderId="15" xfId="4" applyFont="1" applyBorder="1"/>
    <xf numFmtId="0" fontId="9" fillId="0" borderId="14" xfId="4" applyFont="1" applyBorder="1" applyAlignment="1">
      <alignment horizontal="right"/>
    </xf>
    <xf numFmtId="1" fontId="9" fillId="0" borderId="16" xfId="4" applyNumberFormat="1" applyFont="1" applyBorder="1"/>
    <xf numFmtId="1" fontId="9" fillId="0" borderId="14" xfId="4" applyNumberFormat="1" applyFont="1" applyBorder="1"/>
    <xf numFmtId="0" fontId="9" fillId="0" borderId="12" xfId="4" applyFont="1" applyBorder="1"/>
    <xf numFmtId="1" fontId="9" fillId="0" borderId="17" xfId="4" applyNumberFormat="1" applyFont="1" applyBorder="1"/>
    <xf numFmtId="164" fontId="9" fillId="0" borderId="12" xfId="4" applyNumberFormat="1" applyFont="1" applyBorder="1" applyAlignment="1">
      <alignment horizontal="right"/>
    </xf>
    <xf numFmtId="0" fontId="9" fillId="0" borderId="9" xfId="4" applyFont="1" applyBorder="1"/>
    <xf numFmtId="0" fontId="9" fillId="0" borderId="14" xfId="4" applyFont="1" applyBorder="1"/>
    <xf numFmtId="164" fontId="6" fillId="0" borderId="0" xfId="4" applyNumberFormat="1" applyFont="1" applyBorder="1" applyAlignment="1">
      <alignment horizontal="left"/>
    </xf>
    <xf numFmtId="0" fontId="8" fillId="0" borderId="10" xfId="4" applyFont="1" applyBorder="1"/>
    <xf numFmtId="0" fontId="8" fillId="0" borderId="13" xfId="4" applyFont="1" applyBorder="1"/>
    <xf numFmtId="1" fontId="9" fillId="0" borderId="0" xfId="4" applyNumberFormat="1" applyFont="1" applyBorder="1"/>
    <xf numFmtId="164" fontId="9" fillId="0" borderId="12" xfId="4" applyNumberFormat="1" applyFont="1" applyBorder="1"/>
    <xf numFmtId="164" fontId="9" fillId="0" borderId="14" xfId="4" applyNumberFormat="1" applyFont="1" applyBorder="1"/>
    <xf numFmtId="0" fontId="9" fillId="0" borderId="0" xfId="4" applyFont="1" applyBorder="1" applyAlignment="1">
      <alignment horizontal="right"/>
    </xf>
    <xf numFmtId="0" fontId="10" fillId="0" borderId="9" xfId="4" applyFont="1" applyBorder="1"/>
    <xf numFmtId="2" fontId="9" fillId="0" borderId="9" xfId="4" applyNumberFormat="1" applyFont="1" applyBorder="1" applyAlignment="1">
      <alignment horizontal="right"/>
    </xf>
    <xf numFmtId="0" fontId="6" fillId="0" borderId="14" xfId="4" applyFont="1" applyBorder="1"/>
    <xf numFmtId="164" fontId="9" fillId="0" borderId="9" xfId="4" applyNumberFormat="1" applyFont="1" applyBorder="1"/>
    <xf numFmtId="1" fontId="9" fillId="0" borderId="9" xfId="4" applyNumberFormat="1" applyFont="1" applyBorder="1" applyAlignment="1">
      <alignment horizontal="right"/>
    </xf>
    <xf numFmtId="1" fontId="9" fillId="0" borderId="12" xfId="4" applyNumberFormat="1" applyFont="1" applyBorder="1" applyAlignment="1">
      <alignment horizontal="right"/>
    </xf>
    <xf numFmtId="1" fontId="9" fillId="0" borderId="14" xfId="4" applyNumberFormat="1" applyFont="1" applyBorder="1" applyAlignment="1">
      <alignment horizontal="right"/>
    </xf>
    <xf numFmtId="14" fontId="7" fillId="0" borderId="0" xfId="4" applyNumberFormat="1" applyFont="1" applyAlignment="1">
      <alignment horizontal="right"/>
    </xf>
    <xf numFmtId="14" fontId="7" fillId="0" borderId="0" xfId="4" applyNumberFormat="1" applyFont="1"/>
    <xf numFmtId="1" fontId="5" fillId="0" borderId="16" xfId="4" applyNumberFormat="1" applyFont="1" applyBorder="1"/>
    <xf numFmtId="1" fontId="5" fillId="0" borderId="11" xfId="4" applyNumberFormat="1" applyFont="1" applyBorder="1"/>
    <xf numFmtId="1" fontId="5" fillId="0" borderId="9" xfId="4" applyNumberFormat="1" applyFont="1" applyBorder="1"/>
    <xf numFmtId="1" fontId="5" fillId="0" borderId="12" xfId="4" applyNumberFormat="1" applyFont="1" applyBorder="1"/>
    <xf numFmtId="0" fontId="11" fillId="0" borderId="0" xfId="4" applyFont="1" applyAlignment="1">
      <alignment wrapText="1"/>
    </xf>
    <xf numFmtId="164" fontId="5" fillId="0" borderId="11" xfId="4" applyNumberFormat="1" applyFont="1" applyBorder="1"/>
    <xf numFmtId="0" fontId="12" fillId="0" borderId="0" xfId="3" applyFont="1"/>
    <xf numFmtId="0" fontId="12" fillId="0" borderId="17" xfId="3" applyFont="1" applyBorder="1" applyAlignment="1">
      <alignment horizontal="center"/>
    </xf>
    <xf numFmtId="0" fontId="12" fillId="0" borderId="9" xfId="3" applyFont="1" applyBorder="1" applyAlignment="1">
      <alignment horizontal="center"/>
    </xf>
    <xf numFmtId="0" fontId="12" fillId="0" borderId="0" xfId="3" applyFont="1" applyAlignment="1">
      <alignment wrapText="1"/>
    </xf>
    <xf numFmtId="0" fontId="12" fillId="2" borderId="18" xfId="3" applyFont="1" applyFill="1" applyBorder="1" applyAlignment="1">
      <alignment horizontal="center" wrapText="1"/>
    </xf>
    <xf numFmtId="0" fontId="12" fillId="2" borderId="19" xfId="3" applyFont="1" applyFill="1" applyBorder="1" applyAlignment="1">
      <alignment horizontal="center" wrapText="1"/>
    </xf>
    <xf numFmtId="0" fontId="12" fillId="0" borderId="18" xfId="3" applyFont="1" applyBorder="1" applyAlignment="1">
      <alignment horizontal="center" wrapText="1"/>
    </xf>
    <xf numFmtId="0" fontId="12" fillId="0" borderId="13" xfId="3" applyFont="1" applyBorder="1" applyAlignment="1">
      <alignment horizontal="center" wrapText="1"/>
    </xf>
    <xf numFmtId="0" fontId="12" fillId="2" borderId="5" xfId="3" applyFont="1" applyFill="1" applyBorder="1" applyAlignment="1">
      <alignment horizontal="center" wrapText="1"/>
    </xf>
    <xf numFmtId="0" fontId="12" fillId="0" borderId="5" xfId="3" applyFont="1" applyBorder="1" applyAlignment="1">
      <alignment horizontal="center" wrapText="1"/>
    </xf>
    <xf numFmtId="0" fontId="12" fillId="0" borderId="6" xfId="3" applyFont="1" applyBorder="1" applyAlignment="1">
      <alignment horizontal="center" wrapText="1"/>
    </xf>
    <xf numFmtId="0" fontId="12" fillId="2" borderId="6" xfId="3" applyFont="1" applyFill="1" applyBorder="1" applyAlignment="1">
      <alignment horizontal="center" wrapText="1"/>
    </xf>
    <xf numFmtId="0" fontId="12" fillId="2" borderId="7" xfId="3" applyFont="1" applyFill="1" applyBorder="1" applyAlignment="1">
      <alignment horizontal="center" wrapText="1"/>
    </xf>
    <xf numFmtId="0" fontId="12" fillId="0" borderId="16" xfId="3" applyFont="1" applyBorder="1" applyAlignment="1">
      <alignment horizontal="center" wrapText="1"/>
    </xf>
    <xf numFmtId="0" fontId="12" fillId="0" borderId="20" xfId="3" applyFont="1" applyBorder="1"/>
    <xf numFmtId="2" fontId="12" fillId="2" borderId="1" xfId="3" applyNumberFormat="1" applyFont="1" applyFill="1" applyBorder="1" applyAlignment="1">
      <alignment horizontal="center"/>
    </xf>
    <xf numFmtId="0" fontId="12" fillId="0" borderId="21" xfId="3" applyFont="1" applyBorder="1" applyAlignment="1">
      <alignment horizontal="center"/>
    </xf>
    <xf numFmtId="2" fontId="12" fillId="0" borderId="1" xfId="3" applyNumberFormat="1" applyFont="1" applyBorder="1" applyAlignment="1">
      <alignment horizontal="center"/>
    </xf>
    <xf numFmtId="0" fontId="12" fillId="2" borderId="3" xfId="3" applyFont="1" applyFill="1" applyBorder="1" applyAlignment="1">
      <alignment horizontal="center"/>
    </xf>
    <xf numFmtId="1" fontId="12" fillId="0" borderId="3" xfId="3" applyNumberFormat="1" applyFont="1" applyBorder="1" applyAlignment="1">
      <alignment horizontal="center"/>
    </xf>
    <xf numFmtId="0" fontId="12" fillId="0" borderId="0" xfId="3" applyFont="1" applyBorder="1" applyAlignment="1">
      <alignment horizontal="center"/>
    </xf>
    <xf numFmtId="2" fontId="12" fillId="2" borderId="3" xfId="3" applyNumberFormat="1" applyFont="1" applyFill="1" applyBorder="1" applyAlignment="1">
      <alignment horizontal="center"/>
    </xf>
    <xf numFmtId="2" fontId="12" fillId="2" borderId="0" xfId="3" applyNumberFormat="1" applyFont="1" applyFill="1" applyBorder="1" applyAlignment="1">
      <alignment horizontal="center"/>
    </xf>
    <xf numFmtId="2" fontId="12" fillId="2" borderId="4" xfId="3" applyNumberFormat="1" applyFont="1" applyFill="1" applyBorder="1" applyAlignment="1">
      <alignment horizontal="center"/>
    </xf>
    <xf numFmtId="2" fontId="12" fillId="0" borderId="17" xfId="3" applyNumberFormat="1" applyFont="1" applyBorder="1" applyAlignment="1">
      <alignment horizontal="center"/>
    </xf>
    <xf numFmtId="0" fontId="12" fillId="2" borderId="0" xfId="3" applyFont="1" applyFill="1" applyBorder="1" applyAlignment="1">
      <alignment horizontal="center"/>
    </xf>
    <xf numFmtId="0" fontId="12" fillId="0" borderId="3" xfId="3" applyFont="1" applyBorder="1" applyAlignment="1">
      <alignment horizontal="center"/>
    </xf>
    <xf numFmtId="2" fontId="12" fillId="0" borderId="0" xfId="3" applyNumberFormat="1" applyFont="1" applyBorder="1" applyAlignment="1">
      <alignment horizontal="center"/>
    </xf>
    <xf numFmtId="2" fontId="12" fillId="0" borderId="11" xfId="3" applyNumberFormat="1" applyFont="1" applyBorder="1" applyAlignment="1">
      <alignment horizontal="center"/>
    </xf>
    <xf numFmtId="0" fontId="12" fillId="0" borderId="22" xfId="3" applyFont="1" applyBorder="1"/>
    <xf numFmtId="2" fontId="12" fillId="0" borderId="16" xfId="3" applyNumberFormat="1" applyFont="1" applyBorder="1" applyAlignment="1">
      <alignment horizontal="center"/>
    </xf>
    <xf numFmtId="0" fontId="12" fillId="0" borderId="23" xfId="3" applyFont="1" applyBorder="1"/>
    <xf numFmtId="0" fontId="12" fillId="2" borderId="24" xfId="3" applyFont="1" applyFill="1" applyBorder="1" applyAlignment="1">
      <alignment horizontal="center"/>
    </xf>
    <xf numFmtId="2" fontId="12" fillId="2" borderId="24" xfId="3" applyNumberFormat="1" applyFont="1" applyFill="1" applyBorder="1" applyAlignment="1">
      <alignment horizontal="center"/>
    </xf>
    <xf numFmtId="0" fontId="12" fillId="0" borderId="25" xfId="3" applyFont="1" applyBorder="1" applyAlignment="1">
      <alignment horizontal="center"/>
    </xf>
    <xf numFmtId="2" fontId="12" fillId="0" borderId="24" xfId="3" applyNumberFormat="1" applyFont="1" applyBorder="1" applyAlignment="1">
      <alignment horizontal="center"/>
    </xf>
    <xf numFmtId="0" fontId="12" fillId="2" borderId="25" xfId="3" applyFont="1" applyFill="1" applyBorder="1" applyAlignment="1">
      <alignment horizontal="center"/>
    </xf>
    <xf numFmtId="0" fontId="12" fillId="0" borderId="24" xfId="3" applyFont="1" applyBorder="1" applyAlignment="1">
      <alignment horizontal="center"/>
    </xf>
    <xf numFmtId="2" fontId="12" fillId="2" borderId="25" xfId="3" applyNumberFormat="1" applyFont="1" applyFill="1" applyBorder="1" applyAlignment="1">
      <alignment horizontal="center"/>
    </xf>
    <xf numFmtId="2" fontId="12" fillId="2" borderId="26" xfId="3" applyNumberFormat="1" applyFont="1" applyFill="1" applyBorder="1" applyAlignment="1">
      <alignment horizontal="center"/>
    </xf>
    <xf numFmtId="0" fontId="12" fillId="0" borderId="0" xfId="3" applyFont="1" applyAlignment="1">
      <alignment horizontal="center"/>
    </xf>
    <xf numFmtId="0" fontId="12" fillId="0" borderId="27" xfId="3" applyFont="1" applyBorder="1" applyAlignment="1">
      <alignment horizontal="center"/>
    </xf>
    <xf numFmtId="1" fontId="12" fillId="2" borderId="1" xfId="3" applyNumberFormat="1" applyFont="1" applyFill="1" applyBorder="1" applyAlignment="1">
      <alignment horizontal="center"/>
    </xf>
    <xf numFmtId="0" fontId="12" fillId="2" borderId="21" xfId="3" applyFont="1" applyFill="1" applyBorder="1" applyAlignment="1">
      <alignment horizontal="center"/>
    </xf>
    <xf numFmtId="1" fontId="12" fillId="0" borderId="21" xfId="3" applyNumberFormat="1" applyFont="1" applyBorder="1" applyAlignment="1">
      <alignment horizontal="center"/>
    </xf>
    <xf numFmtId="0" fontId="12" fillId="0" borderId="1" xfId="3" applyFont="1" applyBorder="1" applyAlignment="1">
      <alignment horizontal="center"/>
    </xf>
    <xf numFmtId="2" fontId="12" fillId="2" borderId="21" xfId="3" applyNumberFormat="1" applyFont="1" applyFill="1" applyBorder="1" applyAlignment="1">
      <alignment horizontal="center"/>
    </xf>
    <xf numFmtId="2" fontId="12" fillId="2" borderId="2" xfId="3" applyNumberFormat="1" applyFont="1" applyFill="1" applyBorder="1" applyAlignment="1">
      <alignment horizontal="center"/>
    </xf>
    <xf numFmtId="1" fontId="12" fillId="0" borderId="25" xfId="3" applyNumberFormat="1" applyFont="1" applyBorder="1" applyAlignment="1">
      <alignment horizontal="center"/>
    </xf>
    <xf numFmtId="2" fontId="12" fillId="0" borderId="28" xfId="3" applyNumberFormat="1" applyFont="1" applyBorder="1" applyAlignment="1">
      <alignment horizontal="center"/>
    </xf>
    <xf numFmtId="0" fontId="12" fillId="0" borderId="22" xfId="4" applyFont="1" applyBorder="1"/>
    <xf numFmtId="0" fontId="12" fillId="2" borderId="29" xfId="3" applyFont="1" applyFill="1" applyBorder="1" applyAlignment="1">
      <alignment horizontal="center"/>
    </xf>
    <xf numFmtId="2" fontId="12" fillId="2" borderId="29" xfId="3" applyNumberFormat="1" applyFont="1" applyFill="1" applyBorder="1" applyAlignment="1">
      <alignment horizontal="center"/>
    </xf>
    <xf numFmtId="0" fontId="12" fillId="0" borderId="30" xfId="3" applyFont="1" applyBorder="1" applyAlignment="1">
      <alignment horizontal="center"/>
    </xf>
    <xf numFmtId="2" fontId="12" fillId="0" borderId="29" xfId="3" applyNumberFormat="1" applyFont="1" applyBorder="1" applyAlignment="1">
      <alignment horizontal="center"/>
    </xf>
    <xf numFmtId="0" fontId="12" fillId="2" borderId="30" xfId="3" applyFont="1" applyFill="1" applyBorder="1" applyAlignment="1">
      <alignment horizontal="center"/>
    </xf>
    <xf numFmtId="2" fontId="12" fillId="2" borderId="30" xfId="3" applyNumberFormat="1" applyFont="1" applyFill="1" applyBorder="1" applyAlignment="1">
      <alignment horizontal="center"/>
    </xf>
    <xf numFmtId="2" fontId="12" fillId="2" borderId="31" xfId="3" applyNumberFormat="1" applyFont="1" applyFill="1" applyBorder="1" applyAlignment="1">
      <alignment horizontal="center"/>
    </xf>
    <xf numFmtId="0" fontId="12" fillId="0" borderId="32" xfId="3" applyFont="1" applyBorder="1"/>
    <xf numFmtId="0" fontId="12" fillId="2" borderId="27" xfId="3" applyFont="1" applyFill="1" applyBorder="1" applyAlignment="1">
      <alignment horizontal="center"/>
    </xf>
    <xf numFmtId="2" fontId="12" fillId="2" borderId="27" xfId="3" applyNumberFormat="1" applyFont="1" applyFill="1" applyBorder="1" applyAlignment="1">
      <alignment horizontal="center"/>
    </xf>
    <xf numFmtId="0" fontId="12" fillId="0" borderId="33" xfId="3" applyFont="1" applyBorder="1" applyAlignment="1">
      <alignment horizontal="center"/>
    </xf>
    <xf numFmtId="2" fontId="12" fillId="0" borderId="27" xfId="3" applyNumberFormat="1" applyFont="1" applyBorder="1" applyAlignment="1">
      <alignment horizontal="center"/>
    </xf>
    <xf numFmtId="0" fontId="12" fillId="2" borderId="33" xfId="3" applyFont="1" applyFill="1" applyBorder="1" applyAlignment="1">
      <alignment horizontal="center"/>
    </xf>
    <xf numFmtId="2" fontId="12" fillId="2" borderId="33" xfId="3" applyNumberFormat="1" applyFont="1" applyFill="1" applyBorder="1" applyAlignment="1">
      <alignment horizontal="center"/>
    </xf>
    <xf numFmtId="2" fontId="12" fillId="2" borderId="34" xfId="3" applyNumberFormat="1" applyFont="1" applyFill="1" applyBorder="1" applyAlignment="1">
      <alignment horizontal="center"/>
    </xf>
    <xf numFmtId="0" fontId="12" fillId="0" borderId="35" xfId="3" applyFont="1" applyBorder="1"/>
    <xf numFmtId="164" fontId="12" fillId="2" borderId="30" xfId="3" applyNumberFormat="1" applyFont="1" applyFill="1" applyBorder="1" applyAlignment="1">
      <alignment horizontal="center"/>
    </xf>
    <xf numFmtId="1" fontId="12" fillId="0" borderId="30" xfId="3" applyNumberFormat="1" applyFont="1" applyBorder="1" applyAlignment="1">
      <alignment horizontal="center"/>
    </xf>
    <xf numFmtId="164" fontId="12" fillId="0" borderId="3" xfId="3" applyNumberFormat="1" applyFont="1" applyBorder="1" applyAlignment="1">
      <alignment horizontal="center"/>
    </xf>
    <xf numFmtId="164" fontId="12" fillId="0" borderId="0" xfId="3" applyNumberFormat="1" applyFont="1" applyBorder="1" applyAlignment="1">
      <alignment horizontal="center"/>
    </xf>
    <xf numFmtId="0" fontId="5" fillId="0" borderId="0" xfId="4" applyFont="1" applyAlignment="1">
      <alignment horizontal="right"/>
    </xf>
    <xf numFmtId="0" fontId="9" fillId="0" borderId="0" xfId="4" applyFont="1" applyAlignment="1">
      <alignment horizontal="right"/>
    </xf>
    <xf numFmtId="0" fontId="9" fillId="0" borderId="0" xfId="4" applyFont="1" applyAlignment="1">
      <alignment horizontal="right" wrapText="1"/>
    </xf>
    <xf numFmtId="2" fontId="9" fillId="0" borderId="12" xfId="4" applyNumberFormat="1" applyFont="1" applyBorder="1" applyAlignment="1">
      <alignment horizontal="right"/>
    </xf>
    <xf numFmtId="2" fontId="9" fillId="0" borderId="9" xfId="4" applyNumberFormat="1" applyFont="1" applyBorder="1"/>
    <xf numFmtId="2" fontId="9" fillId="0" borderId="12" xfId="4" applyNumberFormat="1" applyFont="1" applyBorder="1"/>
    <xf numFmtId="2" fontId="9" fillId="0" borderId="14" xfId="4" applyNumberFormat="1" applyFont="1" applyBorder="1"/>
    <xf numFmtId="0" fontId="7" fillId="0" borderId="0" xfId="4" applyFont="1" applyBorder="1"/>
    <xf numFmtId="0" fontId="5" fillId="0" borderId="8" xfId="4" applyFont="1" applyBorder="1"/>
    <xf numFmtId="0" fontId="5" fillId="0" borderId="12" xfId="4" applyFont="1" applyBorder="1"/>
    <xf numFmtId="0" fontId="5" fillId="0" borderId="14" xfId="4" applyFont="1" applyBorder="1"/>
    <xf numFmtId="0" fontId="7" fillId="0" borderId="0" xfId="4" applyFont="1" applyBorder="1" applyAlignment="1">
      <alignment horizontal="right"/>
    </xf>
    <xf numFmtId="164" fontId="5" fillId="0" borderId="8" xfId="4" applyNumberFormat="1" applyFont="1" applyBorder="1"/>
    <xf numFmtId="164" fontId="5" fillId="0" borderId="12" xfId="4" applyNumberFormat="1" applyFont="1" applyBorder="1"/>
    <xf numFmtId="164" fontId="5" fillId="0" borderId="14" xfId="4" applyNumberFormat="1" applyFont="1" applyBorder="1"/>
    <xf numFmtId="0" fontId="8" fillId="0" borderId="8" xfId="4" applyFont="1" applyBorder="1"/>
    <xf numFmtId="1" fontId="9" fillId="0" borderId="8" xfId="4" applyNumberFormat="1" applyFont="1" applyBorder="1"/>
    <xf numFmtId="1" fontId="12" fillId="2" borderId="3" xfId="3" applyNumberFormat="1" applyFont="1" applyFill="1" applyBorder="1" applyAlignment="1">
      <alignment horizontal="center"/>
    </xf>
    <xf numFmtId="2" fontId="12" fillId="0" borderId="0" xfId="3" applyNumberFormat="1" applyFont="1" applyFill="1" applyBorder="1" applyAlignment="1">
      <alignment horizontal="center"/>
    </xf>
    <xf numFmtId="0" fontId="12" fillId="0" borderId="0" xfId="3" applyFont="1" applyFill="1" applyBorder="1" applyAlignment="1">
      <alignment horizontal="center"/>
    </xf>
    <xf numFmtId="0" fontId="12" fillId="0" borderId="0" xfId="3" applyFont="1" applyFill="1" applyBorder="1"/>
    <xf numFmtId="1" fontId="12" fillId="0" borderId="0" xfId="3" applyNumberFormat="1" applyFont="1" applyFill="1" applyBorder="1" applyAlignment="1">
      <alignment horizontal="center"/>
    </xf>
    <xf numFmtId="164" fontId="12" fillId="0" borderId="30" xfId="3" applyNumberFormat="1" applyFont="1" applyBorder="1" applyAlignment="1">
      <alignment horizontal="center"/>
    </xf>
    <xf numFmtId="164" fontId="12" fillId="0" borderId="29" xfId="3" applyNumberFormat="1" applyFont="1" applyBorder="1" applyAlignment="1">
      <alignment horizontal="center"/>
    </xf>
    <xf numFmtId="2" fontId="12" fillId="0" borderId="30" xfId="3" applyNumberFormat="1" applyFont="1" applyBorder="1" applyAlignment="1">
      <alignment horizontal="center"/>
    </xf>
    <xf numFmtId="0" fontId="4" fillId="3" borderId="0" xfId="1" applyFill="1" applyBorder="1"/>
    <xf numFmtId="0" fontId="11" fillId="0" borderId="0" xfId="4" applyFont="1"/>
    <xf numFmtId="165" fontId="3" fillId="3" borderId="0" xfId="2" applyNumberFormat="1" applyFont="1" applyFill="1" applyBorder="1" applyAlignment="1">
      <alignment horizontal="left"/>
    </xf>
    <xf numFmtId="0" fontId="4" fillId="3" borderId="0" xfId="1" applyFill="1"/>
    <xf numFmtId="165" fontId="2" fillId="3" borderId="0" xfId="2" applyNumberFormat="1" applyFont="1" applyFill="1" applyBorder="1" applyAlignment="1">
      <alignment horizontal="left"/>
    </xf>
    <xf numFmtId="0" fontId="14" fillId="0" borderId="7" xfId="1" applyFont="1" applyFill="1" applyBorder="1" applyAlignment="1">
      <alignment horizontal="center"/>
    </xf>
    <xf numFmtId="0" fontId="14" fillId="3" borderId="0" xfId="1" applyFont="1" applyFill="1" applyAlignment="1">
      <alignment horizontal="center"/>
    </xf>
    <xf numFmtId="0" fontId="15" fillId="0" borderId="1" xfId="1" applyFont="1" applyFill="1" applyBorder="1" applyAlignment="1">
      <alignment horizontal="left" indent="2"/>
    </xf>
    <xf numFmtId="0" fontId="15" fillId="0" borderId="2" xfId="1" applyFont="1" applyFill="1" applyBorder="1" applyAlignment="1">
      <alignment horizontal="left" wrapText="1" indent="2"/>
    </xf>
    <xf numFmtId="0" fontId="16" fillId="3" borderId="0" xfId="1" applyFont="1" applyFill="1"/>
    <xf numFmtId="0" fontId="15" fillId="0" borderId="0" xfId="1" applyFont="1" applyFill="1" applyBorder="1" applyAlignment="1">
      <alignment horizontal="left" indent="2"/>
    </xf>
    <xf numFmtId="0" fontId="15" fillId="0" borderId="4" xfId="1" applyFont="1" applyFill="1" applyBorder="1" applyAlignment="1">
      <alignment horizontal="left" wrapText="1" indent="2"/>
    </xf>
    <xf numFmtId="0" fontId="15" fillId="0" borderId="24" xfId="1" applyFont="1" applyFill="1" applyBorder="1" applyAlignment="1">
      <alignment horizontal="left" indent="2"/>
    </xf>
    <xf numFmtId="0" fontId="15" fillId="0" borderId="26" xfId="1" applyFont="1" applyFill="1" applyBorder="1" applyAlignment="1">
      <alignment horizontal="left" wrapText="1" indent="2"/>
    </xf>
    <xf numFmtId="0" fontId="14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4" fillId="0" borderId="0" xfId="1" applyAlignment="1">
      <alignment horizontal="center"/>
    </xf>
    <xf numFmtId="0" fontId="4" fillId="0" borderId="0" xfId="1" applyFont="1" applyAlignment="1">
      <alignment horizontal="center"/>
    </xf>
    <xf numFmtId="0" fontId="16" fillId="3" borderId="0" xfId="1" applyFont="1" applyFill="1" applyBorder="1"/>
    <xf numFmtId="0" fontId="14" fillId="0" borderId="6" xfId="1" applyFont="1" applyFill="1" applyBorder="1" applyAlignment="1">
      <alignment horizontal="center" wrapText="1"/>
    </xf>
    <xf numFmtId="0" fontId="15" fillId="0" borderId="21" xfId="1" applyFont="1" applyFill="1" applyBorder="1" applyAlignment="1">
      <alignment horizontal="left" indent="2"/>
    </xf>
    <xf numFmtId="0" fontId="15" fillId="0" borderId="3" xfId="1" applyFont="1" applyFill="1" applyBorder="1" applyAlignment="1">
      <alignment horizontal="left" indent="2"/>
    </xf>
    <xf numFmtId="0" fontId="15" fillId="0" borderId="25" xfId="1" applyFont="1" applyFill="1" applyBorder="1" applyAlignment="1">
      <alignment horizontal="left" indent="2"/>
    </xf>
    <xf numFmtId="0" fontId="14" fillId="0" borderId="5" xfId="1" applyFont="1" applyFill="1" applyBorder="1" applyAlignment="1">
      <alignment horizontal="center" wrapText="1"/>
    </xf>
    <xf numFmtId="1" fontId="5" fillId="0" borderId="17" xfId="4" applyNumberFormat="1" applyFont="1" applyBorder="1"/>
    <xf numFmtId="1" fontId="5" fillId="0" borderId="14" xfId="4" applyNumberFormat="1" applyFont="1" applyBorder="1"/>
    <xf numFmtId="2" fontId="5" fillId="0" borderId="9" xfId="4" applyNumberFormat="1" applyFont="1" applyBorder="1"/>
    <xf numFmtId="2" fontId="5" fillId="0" borderId="12" xfId="4" applyNumberFormat="1" applyFont="1" applyBorder="1"/>
    <xf numFmtId="2" fontId="5" fillId="0" borderId="14" xfId="4" applyNumberFormat="1" applyFont="1" applyBorder="1"/>
    <xf numFmtId="164" fontId="9" fillId="0" borderId="9" xfId="4" applyNumberFormat="1" applyFont="1" applyBorder="1" applyAlignment="1">
      <alignment horizontal="right"/>
    </xf>
    <xf numFmtId="164" fontId="5" fillId="0" borderId="9" xfId="4" applyNumberFormat="1" applyFont="1" applyBorder="1"/>
    <xf numFmtId="1" fontId="5" fillId="0" borderId="8" xfId="4" applyNumberFormat="1" applyFont="1" applyBorder="1"/>
    <xf numFmtId="0" fontId="0" fillId="4" borderId="0" xfId="0" applyFill="1"/>
    <xf numFmtId="0" fontId="0" fillId="4" borderId="0" xfId="0" applyFill="1" applyBorder="1"/>
    <xf numFmtId="0" fontId="1" fillId="4" borderId="0" xfId="0" applyFont="1" applyFill="1" applyBorder="1"/>
    <xf numFmtId="0" fontId="0" fillId="5" borderId="3" xfId="0" applyFill="1" applyBorder="1"/>
    <xf numFmtId="0" fontId="0" fillId="6" borderId="8" xfId="0" applyFill="1" applyBorder="1"/>
    <xf numFmtId="0" fontId="0" fillId="5" borderId="25" xfId="0" applyFill="1" applyBorder="1"/>
    <xf numFmtId="0" fontId="0" fillId="6" borderId="38" xfId="0" applyFill="1" applyBorder="1"/>
    <xf numFmtId="0" fontId="0" fillId="6" borderId="39" xfId="0" applyFill="1" applyBorder="1"/>
    <xf numFmtId="0" fontId="1" fillId="6" borderId="29" xfId="0" applyFont="1" applyFill="1" applyBorder="1" applyAlignment="1">
      <alignment vertical="center"/>
    </xf>
    <xf numFmtId="0" fontId="1" fillId="6" borderId="16" xfId="0" applyFont="1" applyFill="1" applyBorder="1" applyAlignment="1">
      <alignment vertical="center"/>
    </xf>
    <xf numFmtId="0" fontId="0" fillId="5" borderId="41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6" borderId="40" xfId="0" applyFill="1" applyBorder="1"/>
    <xf numFmtId="0" fontId="1" fillId="5" borderId="28" xfId="0" applyFont="1" applyFill="1" applyBorder="1"/>
    <xf numFmtId="0" fontId="1" fillId="6" borderId="13" xfId="0" applyFont="1" applyFill="1" applyBorder="1" applyAlignment="1">
      <alignment vertical="center"/>
    </xf>
    <xf numFmtId="0" fontId="1" fillId="6" borderId="19" xfId="0" applyFont="1" applyFill="1" applyBorder="1" applyAlignment="1">
      <alignment vertical="center"/>
    </xf>
    <xf numFmtId="0" fontId="1" fillId="6" borderId="12" xfId="0" applyFont="1" applyFill="1" applyBorder="1" applyAlignment="1">
      <alignment vertical="center"/>
    </xf>
    <xf numFmtId="0" fontId="0" fillId="6" borderId="46" xfId="0" applyFill="1" applyBorder="1"/>
    <xf numFmtId="0" fontId="1" fillId="6" borderId="46" xfId="0" applyFont="1" applyFill="1" applyBorder="1"/>
    <xf numFmtId="0" fontId="0" fillId="5" borderId="21" xfId="0" applyFill="1" applyBorder="1"/>
    <xf numFmtId="0" fontId="0" fillId="6" borderId="45" xfId="0" applyFill="1" applyBorder="1"/>
    <xf numFmtId="0" fontId="0" fillId="7" borderId="45" xfId="0" applyFill="1" applyBorder="1"/>
    <xf numFmtId="0" fontId="0" fillId="7" borderId="46" xfId="0" applyFill="1" applyBorder="1"/>
    <xf numFmtId="0" fontId="0" fillId="7" borderId="8" xfId="0" applyFill="1" applyBorder="1"/>
    <xf numFmtId="0" fontId="0" fillId="7" borderId="38" xfId="0" applyFill="1" applyBorder="1"/>
    <xf numFmtId="0" fontId="0" fillId="7" borderId="40" xfId="0" applyFill="1" applyBorder="1"/>
    <xf numFmtId="0" fontId="0" fillId="7" borderId="39" xfId="0" applyFill="1" applyBorder="1"/>
    <xf numFmtId="0" fontId="12" fillId="0" borderId="10" xfId="3" applyFont="1" applyBorder="1" applyAlignment="1">
      <alignment horizontal="center"/>
    </xf>
    <xf numFmtId="0" fontId="12" fillId="0" borderId="27" xfId="3" applyFont="1" applyBorder="1" applyAlignment="1">
      <alignment horizontal="center"/>
    </xf>
    <xf numFmtId="0" fontId="12" fillId="0" borderId="17" xfId="3" applyFont="1" applyBorder="1" applyAlignment="1">
      <alignment horizontal="center"/>
    </xf>
    <xf numFmtId="0" fontId="12" fillId="2" borderId="36" xfId="3" applyFont="1" applyFill="1" applyBorder="1" applyAlignment="1">
      <alignment horizontal="center"/>
    </xf>
    <xf numFmtId="0" fontId="12" fillId="2" borderId="37" xfId="3" applyFont="1" applyFill="1" applyBorder="1" applyAlignment="1">
      <alignment horizontal="center"/>
    </xf>
    <xf numFmtId="0" fontId="12" fillId="0" borderId="36" xfId="3" applyFont="1" applyBorder="1" applyAlignment="1">
      <alignment horizontal="center"/>
    </xf>
    <xf numFmtId="0" fontId="12" fillId="0" borderId="37" xfId="3" applyFont="1" applyBorder="1" applyAlignment="1">
      <alignment horizontal="center"/>
    </xf>
    <xf numFmtId="0" fontId="1" fillId="5" borderId="5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left" wrapText="1"/>
    </xf>
    <xf numFmtId="0" fontId="0" fillId="6" borderId="6" xfId="0" applyFill="1" applyBorder="1" applyAlignment="1">
      <alignment horizontal="left" wrapText="1"/>
    </xf>
    <xf numFmtId="0" fontId="0" fillId="6" borderId="7" xfId="0" applyFill="1" applyBorder="1" applyAlignment="1">
      <alignment horizontal="left" wrapText="1"/>
    </xf>
    <xf numFmtId="0" fontId="0" fillId="5" borderId="41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5" borderId="45" xfId="0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41" xfId="0" applyFont="1" applyFill="1" applyBorder="1" applyAlignment="1">
      <alignment horizontal="left"/>
    </xf>
    <xf numFmtId="0" fontId="1" fillId="5" borderId="8" xfId="0" applyFont="1" applyFill="1" applyBorder="1" applyAlignment="1">
      <alignment horizontal="left"/>
    </xf>
    <xf numFmtId="0" fontId="0" fillId="5" borderId="41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42" xfId="0" applyFill="1" applyBorder="1" applyAlignment="1">
      <alignment horizontal="left"/>
    </xf>
    <xf numFmtId="0" fontId="0" fillId="5" borderId="39" xfId="0" applyFill="1" applyBorder="1" applyAlignment="1">
      <alignment horizontal="left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0" fillId="6" borderId="8" xfId="0" applyFill="1" applyBorder="1" applyAlignment="1">
      <alignment horizontal="left"/>
    </xf>
    <xf numFmtId="0" fontId="0" fillId="6" borderId="39" xfId="0" applyFill="1" applyBorder="1" applyAlignment="1">
      <alignment horizontal="left"/>
    </xf>
    <xf numFmtId="0" fontId="1" fillId="5" borderId="36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</cellXfs>
  <cellStyles count="5">
    <cellStyle name="Normal" xfId="0" builtinId="0"/>
    <cellStyle name="Normal_CEPLOTS" xfId="1"/>
    <cellStyle name="Normal_CEPLOTS orig" xfId="2"/>
    <cellStyle name="Normal_Ratings chart" xfId="3"/>
    <cellStyle name="Normal_Summary sheet" xf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DEC95E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962178517397884"/>
          <c:y val="7.3856975381008313E-2"/>
          <c:w val="0.72617246596066298"/>
          <c:h val="0.80656506447831189"/>
        </c:manualLayout>
      </c:layout>
      <c:barChart>
        <c:barDir val="bar"/>
        <c:grouping val="clustered"/>
        <c:varyColors val="0"/>
        <c:ser>
          <c:idx val="3"/>
          <c:order val="0"/>
          <c:tx>
            <c:v>Poor</c:v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'Ratings Chart Data'!$B$3:$B$15</c:f>
              <c:strCache>
                <c:ptCount val="13"/>
                <c:pt idx="0">
                  <c:v>HIC15</c:v>
                </c:pt>
                <c:pt idx="1">
                  <c:v>Neck axial tension</c:v>
                </c:pt>
                <c:pt idx="2">
                  <c:v>Neck axial compression</c:v>
                </c:pt>
                <c:pt idx="3">
                  <c:v>Peak torso deflection</c:v>
                </c:pt>
                <c:pt idx="4">
                  <c:v>Average torso deflection</c:v>
                </c:pt>
                <c:pt idx="5">
                  <c:v>Torso deflection rate</c:v>
                </c:pt>
                <c:pt idx="6">
                  <c:v>Torso V*C</c:v>
                </c:pt>
                <c:pt idx="7">
                  <c:v>Iliac force</c:v>
                </c:pt>
                <c:pt idx="8">
                  <c:v>Acetabulum force</c:v>
                </c:pt>
                <c:pt idx="9">
                  <c:v>Combined acetabulum and ilium force</c:v>
                </c:pt>
                <c:pt idx="10">
                  <c:v>Femur L-M force </c:v>
                </c:pt>
                <c:pt idx="11">
                  <c:v>Femur L-M moment </c:v>
                </c:pt>
                <c:pt idx="12">
                  <c:v>Femur A-P moment </c:v>
                </c:pt>
              </c:strCache>
            </c:strRef>
          </c:cat>
          <c:val>
            <c:numRef>
              <c:f>'Ratings Chart Data'!$N$3:$N$15</c:f>
              <c:numCache>
                <c:formatCode>0.00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B2-4F6B-A41F-17EA1D5C8A17}"/>
            </c:ext>
          </c:extLst>
        </c:ser>
        <c:ser>
          <c:idx val="2"/>
          <c:order val="1"/>
          <c:tx>
            <c:v>Marginal</c:v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'Ratings Chart Data'!$B$3:$B$15</c:f>
              <c:strCache>
                <c:ptCount val="13"/>
                <c:pt idx="0">
                  <c:v>HIC15</c:v>
                </c:pt>
                <c:pt idx="1">
                  <c:v>Neck axial tension</c:v>
                </c:pt>
                <c:pt idx="2">
                  <c:v>Neck axial compression</c:v>
                </c:pt>
                <c:pt idx="3">
                  <c:v>Peak torso deflection</c:v>
                </c:pt>
                <c:pt idx="4">
                  <c:v>Average torso deflection</c:v>
                </c:pt>
                <c:pt idx="5">
                  <c:v>Torso deflection rate</c:v>
                </c:pt>
                <c:pt idx="6">
                  <c:v>Torso V*C</c:v>
                </c:pt>
                <c:pt idx="7">
                  <c:v>Iliac force</c:v>
                </c:pt>
                <c:pt idx="8">
                  <c:v>Acetabulum force</c:v>
                </c:pt>
                <c:pt idx="9">
                  <c:v>Combined acetabulum and ilium force</c:v>
                </c:pt>
                <c:pt idx="10">
                  <c:v>Femur L-M force </c:v>
                </c:pt>
                <c:pt idx="11">
                  <c:v>Femur L-M moment </c:v>
                </c:pt>
                <c:pt idx="12">
                  <c:v>Femur A-P moment </c:v>
                </c:pt>
              </c:strCache>
            </c:strRef>
          </c:cat>
          <c:val>
            <c:numRef>
              <c:f>'Ratings Chart Data'!$M$3:$M$15</c:f>
              <c:numCache>
                <c:formatCode>0.00</c:formatCode>
                <c:ptCount val="13"/>
                <c:pt idx="0">
                  <c:v>1.5008025682182986</c:v>
                </c:pt>
                <c:pt idx="1">
                  <c:v>1.3809523809523809</c:v>
                </c:pt>
                <c:pt idx="2">
                  <c:v>1.4</c:v>
                </c:pt>
                <c:pt idx="3">
                  <c:v>1.1000000000000001</c:v>
                </c:pt>
                <c:pt idx="4">
                  <c:v>1.4705882352941178</c:v>
                </c:pt>
                <c:pt idx="5">
                  <c:v>1.4000000000000001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1.392156862745098</c:v>
                </c:pt>
                <c:pt idx="10">
                  <c:v>1.392857142857143</c:v>
                </c:pt>
                <c:pt idx="11">
                  <c:v>1.4015748031496063</c:v>
                </c:pt>
                <c:pt idx="12">
                  <c:v>1.4015748031496063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B2-4F6B-A41F-17EA1D5C8A17}"/>
            </c:ext>
          </c:extLst>
        </c:ser>
        <c:ser>
          <c:idx val="1"/>
          <c:order val="2"/>
          <c:tx>
            <c:v>Acceptable</c:v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'Ratings Chart Data'!$B$3:$B$15</c:f>
              <c:strCache>
                <c:ptCount val="13"/>
                <c:pt idx="0">
                  <c:v>HIC15</c:v>
                </c:pt>
                <c:pt idx="1">
                  <c:v>Neck axial tension</c:v>
                </c:pt>
                <c:pt idx="2">
                  <c:v>Neck axial compression</c:v>
                </c:pt>
                <c:pt idx="3">
                  <c:v>Peak torso deflection</c:v>
                </c:pt>
                <c:pt idx="4">
                  <c:v>Average torso deflection</c:v>
                </c:pt>
                <c:pt idx="5">
                  <c:v>Torso deflection rate</c:v>
                </c:pt>
                <c:pt idx="6">
                  <c:v>Torso V*C</c:v>
                </c:pt>
                <c:pt idx="7">
                  <c:v>Iliac force</c:v>
                </c:pt>
                <c:pt idx="8">
                  <c:v>Acetabulum force</c:v>
                </c:pt>
                <c:pt idx="9">
                  <c:v>Combined acetabulum and ilium force</c:v>
                </c:pt>
                <c:pt idx="10">
                  <c:v>Femur L-M force </c:v>
                </c:pt>
                <c:pt idx="11">
                  <c:v>Femur L-M moment </c:v>
                </c:pt>
                <c:pt idx="12">
                  <c:v>Femur A-P moment </c:v>
                </c:pt>
              </c:strCache>
            </c:strRef>
          </c:cat>
          <c:val>
            <c:numRef>
              <c:f>'Ratings Chart Data'!$L$3:$L$15</c:f>
              <c:numCache>
                <c:formatCode>0.00</c:formatCode>
                <c:ptCount val="13"/>
                <c:pt idx="0">
                  <c:v>1.2504012841091492</c:v>
                </c:pt>
                <c:pt idx="1">
                  <c:v>1.1904761904761905</c:v>
                </c:pt>
                <c:pt idx="2">
                  <c:v>1.2</c:v>
                </c:pt>
                <c:pt idx="3">
                  <c:v>0</c:v>
                </c:pt>
                <c:pt idx="4">
                  <c:v>1.2352941176470589</c:v>
                </c:pt>
                <c:pt idx="5">
                  <c:v>1.2000000000000002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1.196078431372549</c:v>
                </c:pt>
                <c:pt idx="10">
                  <c:v>1.2142857142857144</c:v>
                </c:pt>
                <c:pt idx="11">
                  <c:v>1.2007874015748032</c:v>
                </c:pt>
                <c:pt idx="12">
                  <c:v>1.2007874015748032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B2-4F6B-A41F-17EA1D5C8A17}"/>
            </c:ext>
          </c:extLst>
        </c:ser>
        <c:ser>
          <c:idx val="0"/>
          <c:order val="3"/>
          <c:tx>
            <c:v>Good</c:v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'Ratings Chart Data'!$B$3:$B$15</c:f>
              <c:strCache>
                <c:ptCount val="13"/>
                <c:pt idx="0">
                  <c:v>HIC15</c:v>
                </c:pt>
                <c:pt idx="1">
                  <c:v>Neck axial tension</c:v>
                </c:pt>
                <c:pt idx="2">
                  <c:v>Neck axial compression</c:v>
                </c:pt>
                <c:pt idx="3">
                  <c:v>Peak torso deflection</c:v>
                </c:pt>
                <c:pt idx="4">
                  <c:v>Average torso deflection</c:v>
                </c:pt>
                <c:pt idx="5">
                  <c:v>Torso deflection rate</c:v>
                </c:pt>
                <c:pt idx="6">
                  <c:v>Torso V*C</c:v>
                </c:pt>
                <c:pt idx="7">
                  <c:v>Iliac force</c:v>
                </c:pt>
                <c:pt idx="8">
                  <c:v>Acetabulum force</c:v>
                </c:pt>
                <c:pt idx="9">
                  <c:v>Combined acetabulum and ilium force</c:v>
                </c:pt>
                <c:pt idx="10">
                  <c:v>Femur L-M force </c:v>
                </c:pt>
                <c:pt idx="11">
                  <c:v>Femur L-M moment </c:v>
                </c:pt>
                <c:pt idx="12">
                  <c:v>Femur A-P moment </c:v>
                </c:pt>
              </c:strCache>
            </c:strRef>
          </c:cat>
          <c:val>
            <c:numRef>
              <c:f>'Ratings Chart Data'!$K$3:$K$15</c:f>
              <c:numCache>
                <c:formatCode>0.00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B2-4F6B-A41F-17EA1D5C8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54432512"/>
        <c:axId val="54434048"/>
      </c:barChart>
      <c:barChart>
        <c:barDir val="bar"/>
        <c:grouping val="clustered"/>
        <c:varyColors val="0"/>
        <c:ser>
          <c:idx val="4"/>
          <c:order val="4"/>
          <c:tx>
            <c:v>Driver</c:v>
          </c:tx>
          <c:spPr>
            <a:solidFill>
              <a:srgbClr val="0000FF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'Ratings Chart Data'!$B$3:$B$15</c:f>
              <c:strCache>
                <c:ptCount val="13"/>
                <c:pt idx="0">
                  <c:v>HIC15</c:v>
                </c:pt>
                <c:pt idx="1">
                  <c:v>Neck axial tension</c:v>
                </c:pt>
                <c:pt idx="2">
                  <c:v>Neck axial compression</c:v>
                </c:pt>
                <c:pt idx="3">
                  <c:v>Peak torso deflection</c:v>
                </c:pt>
                <c:pt idx="4">
                  <c:v>Average torso deflection</c:v>
                </c:pt>
                <c:pt idx="5">
                  <c:v>Torso deflection rate</c:v>
                </c:pt>
                <c:pt idx="6">
                  <c:v>Torso V*C</c:v>
                </c:pt>
                <c:pt idx="7">
                  <c:v>Iliac force</c:v>
                </c:pt>
                <c:pt idx="8">
                  <c:v>Acetabulum force</c:v>
                </c:pt>
                <c:pt idx="9">
                  <c:v>Combined acetabulum and ilium force</c:v>
                </c:pt>
                <c:pt idx="10">
                  <c:v>Femur L-M force </c:v>
                </c:pt>
                <c:pt idx="11">
                  <c:v>Femur L-M moment </c:v>
                </c:pt>
                <c:pt idx="12">
                  <c:v>Femur A-P moment </c:v>
                </c:pt>
              </c:strCache>
            </c:strRef>
          </c:cat>
          <c:val>
            <c:numRef>
              <c:f>'Ratings Chart Data'!$D$3:$D$15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B2-4F6B-A41F-17EA1D5C8A17}"/>
            </c:ext>
          </c:extLst>
        </c:ser>
        <c:ser>
          <c:idx val="5"/>
          <c:order val="5"/>
          <c:tx>
            <c:v>Passenger</c:v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'Ratings Chart Data'!$B$3:$B$15</c:f>
              <c:strCache>
                <c:ptCount val="13"/>
                <c:pt idx="0">
                  <c:v>HIC15</c:v>
                </c:pt>
                <c:pt idx="1">
                  <c:v>Neck axial tension</c:v>
                </c:pt>
                <c:pt idx="2">
                  <c:v>Neck axial compression</c:v>
                </c:pt>
                <c:pt idx="3">
                  <c:v>Peak torso deflection</c:v>
                </c:pt>
                <c:pt idx="4">
                  <c:v>Average torso deflection</c:v>
                </c:pt>
                <c:pt idx="5">
                  <c:v>Torso deflection rate</c:v>
                </c:pt>
                <c:pt idx="6">
                  <c:v>Torso V*C</c:v>
                </c:pt>
                <c:pt idx="7">
                  <c:v>Iliac force</c:v>
                </c:pt>
                <c:pt idx="8">
                  <c:v>Acetabulum force</c:v>
                </c:pt>
                <c:pt idx="9">
                  <c:v>Combined acetabulum and ilium force</c:v>
                </c:pt>
                <c:pt idx="10">
                  <c:v>Femur L-M force </c:v>
                </c:pt>
                <c:pt idx="11">
                  <c:v>Femur L-M moment </c:v>
                </c:pt>
                <c:pt idx="12">
                  <c:v>Femur A-P moment </c:v>
                </c:pt>
              </c:strCache>
            </c:strRef>
          </c:cat>
          <c:val>
            <c:numRef>
              <c:f>'Ratings Chart Data'!$F$3:$F$15</c:f>
              <c:numCache>
                <c:formatCode>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B2-4F6B-A41F-17EA1D5C8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5"/>
        <c:axId val="54448128"/>
        <c:axId val="54449664"/>
      </c:barChart>
      <c:catAx>
        <c:axId val="5443251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54434048"/>
        <c:crosses val="autoZero"/>
        <c:auto val="1"/>
        <c:lblAlgn val="ctr"/>
        <c:lblOffset val="300"/>
        <c:tickLblSkip val="1"/>
        <c:tickMarkSkip val="1"/>
        <c:noMultiLvlLbl val="0"/>
      </c:catAx>
      <c:valAx>
        <c:axId val="54434048"/>
        <c:scaling>
          <c:orientation val="minMax"/>
          <c:max val="2"/>
          <c:min val="0"/>
        </c:scaling>
        <c:delete val="1"/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0" sourceLinked="1"/>
        <c:majorTickMark val="out"/>
        <c:minorTickMark val="none"/>
        <c:tickLblPos val="none"/>
        <c:crossAx val="54432512"/>
        <c:crosses val="autoZero"/>
        <c:crossBetween val="between"/>
        <c:majorUnit val="0.25"/>
        <c:minorUnit val="4.0000000000000022E-2"/>
      </c:valAx>
      <c:catAx>
        <c:axId val="54448128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one"/>
        <c:crossAx val="54449664"/>
        <c:crosses val="autoZero"/>
        <c:auto val="1"/>
        <c:lblAlgn val="ctr"/>
        <c:lblOffset val="100"/>
        <c:noMultiLvlLbl val="0"/>
      </c:catAx>
      <c:valAx>
        <c:axId val="54449664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Univers Condensed"/>
                    <a:ea typeface="Univers Condensed"/>
                    <a:cs typeface="Univers Condensed"/>
                  </a:defRPr>
                </a:pPr>
                <a:r>
                  <a:rPr lang="en-US"/>
                  <a:t>Injury Measure Normalized to GOOD Boundary</a:t>
                </a:r>
              </a:p>
            </c:rich>
          </c:tx>
          <c:layout>
            <c:manualLayout>
              <c:xMode val="edge"/>
              <c:yMode val="edge"/>
              <c:x val="0.44175487155014731"/>
              <c:y val="0.9120750293083236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Univers Condensed"/>
                <a:ea typeface="Univers Condensed"/>
                <a:cs typeface="Univers Condensed"/>
              </a:defRPr>
            </a:pPr>
            <a:endParaRPr lang="en-US"/>
          </a:p>
        </c:txPr>
        <c:crossAx val="54448128"/>
        <c:crosses val="max"/>
        <c:crossBetween val="between"/>
        <c:majorUnit val="0.2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025721784776926E-2"/>
          <c:y val="0.95427901524032865"/>
          <c:w val="0.96974278215223098"/>
          <c:h val="2.579132473622515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Univers Condensed"/>
              <a:ea typeface="Univers Condensed"/>
              <a:cs typeface="Univers Condensed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Univers Condensed"/>
          <a:ea typeface="Univers Condensed"/>
          <a:cs typeface="Univers Condensed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workbookViewId="0"/>
  </sheetViews>
  <pageMargins left="0.75" right="0.75" top="1" bottom="1" header="0.5" footer="0.5"/>
  <pageSetup orientation="portrait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296025" cy="8124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0.98475</cdr:x>
      <cdr:y>0.06225</cdr:y>
    </cdr:to>
    <cdr:sp macro="" textlink="">
      <cdr:nvSpPr>
        <cdr:cNvPr id="1025" name="Rectangl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6200011" cy="5057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0.0185</cdr:x>
      <cdr:y>0.0205</cdr:y>
    </cdr:from>
    <cdr:to>
      <cdr:x>0.21</cdr:x>
      <cdr:y>0.05625</cdr:y>
    </cdr:to>
    <cdr:sp macro="" textlink="'Driver Summary Sheet'!$A$1">
      <cdr:nvSpPr>
        <cdr:cNvPr id="1027" name="Text Box 3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16476" y="166559"/>
          <a:ext cx="1205689" cy="2904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0" bIns="27432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179F35EB-A5F6-4426-80E9-B174895E5BF4}" type="TxLink">
            <a:rPr lang="en-US" sz="1200" b="1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TESTID</a:t>
          </a:fld>
          <a:endParaRPr lang="en-US" sz="1200" b="1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0.21</cdr:x>
      <cdr:y>0.02025</cdr:y>
    </cdr:from>
    <cdr:to>
      <cdr:x>0.67225</cdr:x>
      <cdr:y>0.05625</cdr:y>
    </cdr:to>
    <cdr:sp macro="" textlink="'Driver Summary Sheet'!$B$1">
      <cdr:nvSpPr>
        <cdr:cNvPr id="1028" name="Text Box 4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322165" y="164528"/>
          <a:ext cx="2910338" cy="29249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fld id="{B5B365D6-182E-40FC-954C-C619EAD9DCAD}" type="TxLink">
            <a:rPr lang="en-US" sz="1200" b="0" i="0" u="none" strike="noStrike">
              <a:solidFill>
                <a:srgbClr val="000000"/>
              </a:solidFill>
              <a:latin typeface="Univers Condensed"/>
            </a:rPr>
            <a:pPr algn="l" rtl="0">
              <a:defRPr sz="1000"/>
            </a:pPr>
            <a:t>Year Make Model</a:t>
          </a:fld>
          <a:endParaRPr lang="en-US" sz="1200" b="0" i="0" strike="noStrike">
            <a:solidFill>
              <a:srgbClr val="000000"/>
            </a:solidFill>
            <a:latin typeface="Univers Condensed"/>
          </a:endParaRPr>
        </a:p>
      </cdr:txBody>
    </cdr:sp>
  </cdr:relSizeAnchor>
  <cdr:relSizeAnchor xmlns:cdr="http://schemas.openxmlformats.org/drawingml/2006/chartDrawing">
    <cdr:from>
      <cdr:x>0.54225</cdr:x>
      <cdr:y>0.01575</cdr:y>
    </cdr:from>
    <cdr:to>
      <cdr:x>0.7295</cdr:x>
      <cdr:y>0.063</cdr:y>
    </cdr:to>
    <cdr:sp macro="" textlink="">
      <cdr:nvSpPr>
        <cdr:cNvPr id="102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14020" y="127966"/>
          <a:ext cx="1178930" cy="3838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4114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cdr:txBody>
    </cdr:sp>
  </cdr:relSizeAnchor>
  <cdr:relSizeAnchor xmlns:cdr="http://schemas.openxmlformats.org/drawingml/2006/chartDrawing">
    <cdr:from>
      <cdr:x>0.83978</cdr:x>
      <cdr:y>0.00114</cdr:y>
    </cdr:from>
    <cdr:to>
      <cdr:x>0.97244</cdr:x>
      <cdr:y>0.07318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287304" y="9293"/>
          <a:ext cx="835224" cy="585267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2371725</xdr:colOff>
      <xdr:row>0</xdr:row>
      <xdr:rowOff>123825</xdr:rowOff>
    </xdr:from>
    <xdr:to>
      <xdr:col>3</xdr:col>
      <xdr:colOff>247650</xdr:colOff>
      <xdr:row>1</xdr:row>
      <xdr:rowOff>314325</xdr:rowOff>
    </xdr:to>
    <xdr:sp macro="" textlink="">
      <xdr:nvSpPr>
        <xdr:cNvPr id="23553" name="Text Box 1"/>
        <xdr:cNvSpPr txBox="1">
          <a:spLocks noChangeArrowheads="1"/>
        </xdr:cNvSpPr>
      </xdr:nvSpPr>
      <xdr:spPr bwMode="auto">
        <a:xfrm>
          <a:off x="3952875" y="1238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0</xdr:row>
      <xdr:rowOff>161925</xdr:rowOff>
    </xdr:from>
    <xdr:to>
      <xdr:col>3</xdr:col>
      <xdr:colOff>523875</xdr:colOff>
      <xdr:row>1</xdr:row>
      <xdr:rowOff>352425</xdr:rowOff>
    </xdr:to>
    <xdr:sp macro="" textlink="">
      <xdr:nvSpPr>
        <xdr:cNvPr id="24578" name="Text Box 2"/>
        <xdr:cNvSpPr txBox="1">
          <a:spLocks noChangeArrowheads="1"/>
        </xdr:cNvSpPr>
      </xdr:nvSpPr>
      <xdr:spPr bwMode="auto">
        <a:xfrm>
          <a:off x="4229100" y="161925"/>
          <a:ext cx="116205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41148" rIns="0" bIns="0" anchor="t" upright="1"/>
        <a:lstStyle/>
        <a:p>
          <a:pPr algn="l" rtl="0">
            <a:defRPr sz="1000"/>
          </a:pPr>
          <a:r>
            <a:rPr lang="en-US" sz="2200" b="1" i="0" strike="noStrike">
              <a:solidFill>
                <a:srgbClr val="808080"/>
              </a:solidFill>
              <a:latin typeface="Univers Condensed"/>
            </a:rPr>
            <a:t>DRAFT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N23"/>
  <sheetViews>
    <sheetView workbookViewId="0">
      <selection activeCell="B20" sqref="B20"/>
    </sheetView>
  </sheetViews>
  <sheetFormatPr defaultColWidth="8.44140625" defaultRowHeight="12"/>
  <cols>
    <col min="1" max="1" width="8.44140625" style="49" customWidth="1"/>
    <col min="2" max="2" width="33" style="49" customWidth="1"/>
    <col min="3" max="6" width="9" style="89" customWidth="1"/>
    <col min="7" max="14" width="6.21875" style="89" customWidth="1"/>
    <col min="15" max="16" width="6.21875" style="49" customWidth="1"/>
    <col min="17" max="16384" width="8.44140625" style="49"/>
  </cols>
  <sheetData>
    <row r="1" spans="2:14" ht="12.75" thickBot="1">
      <c r="C1" s="207" t="s">
        <v>40</v>
      </c>
      <c r="D1" s="208"/>
      <c r="E1" s="209" t="s">
        <v>41</v>
      </c>
      <c r="F1" s="210"/>
      <c r="G1" s="50"/>
      <c r="H1" s="204" t="s">
        <v>42</v>
      </c>
      <c r="I1" s="205"/>
      <c r="J1" s="206"/>
      <c r="K1" s="204" t="s">
        <v>43</v>
      </c>
      <c r="L1" s="205"/>
      <c r="M1" s="206"/>
      <c r="N1" s="51"/>
    </row>
    <row r="2" spans="2:14" s="52" customFormat="1" ht="24.75" thickBot="1">
      <c r="C2" s="53" t="s">
        <v>44</v>
      </c>
      <c r="D2" s="54" t="s">
        <v>45</v>
      </c>
      <c r="E2" s="55" t="s">
        <v>44</v>
      </c>
      <c r="F2" s="56" t="s">
        <v>45</v>
      </c>
      <c r="G2" s="57" t="s">
        <v>46</v>
      </c>
      <c r="H2" s="58" t="s">
        <v>47</v>
      </c>
      <c r="I2" s="59" t="s">
        <v>48</v>
      </c>
      <c r="J2" s="59" t="s">
        <v>49</v>
      </c>
      <c r="K2" s="57" t="s">
        <v>47</v>
      </c>
      <c r="L2" s="60" t="s">
        <v>48</v>
      </c>
      <c r="M2" s="61" t="s">
        <v>49</v>
      </c>
      <c r="N2" s="62" t="s">
        <v>50</v>
      </c>
    </row>
    <row r="3" spans="2:14">
      <c r="B3" s="63" t="s">
        <v>7</v>
      </c>
      <c r="C3" s="91">
        <f>ABS('Driver Summary Sheet'!D6)</f>
        <v>0</v>
      </c>
      <c r="D3" s="64">
        <f>C3/H3</f>
        <v>0</v>
      </c>
      <c r="E3" s="65">
        <f>ABS('Passenger Summary Sheet'!D6)</f>
        <v>0</v>
      </c>
      <c r="F3" s="66">
        <f t="shared" ref="F3:F11" si="0">E3/H3</f>
        <v>0</v>
      </c>
      <c r="G3" s="92">
        <v>779</v>
      </c>
      <c r="H3" s="93">
        <v>623</v>
      </c>
      <c r="I3" s="94">
        <v>779</v>
      </c>
      <c r="J3" s="94">
        <v>935</v>
      </c>
      <c r="K3" s="95">
        <f t="shared" ref="K3:K11" si="1">H3/$H3</f>
        <v>1</v>
      </c>
      <c r="L3" s="64">
        <f t="shared" ref="L3:L11" si="2">I3/$H3</f>
        <v>1.2504012841091492</v>
      </c>
      <c r="M3" s="96">
        <f t="shared" ref="M3:M11" si="3">J3/$H3</f>
        <v>1.5008025682182986</v>
      </c>
      <c r="N3" s="73">
        <v>2</v>
      </c>
    </row>
    <row r="4" spans="2:14">
      <c r="B4" s="99" t="s">
        <v>51</v>
      </c>
      <c r="C4" s="74">
        <f>ABS('Driver Summary Sheet'!D9)</f>
        <v>0</v>
      </c>
      <c r="D4" s="71">
        <f>C4/H4</f>
        <v>0</v>
      </c>
      <c r="E4" s="75">
        <f>ABS('Passenger Summary Sheet'!D9)</f>
        <v>0</v>
      </c>
      <c r="F4" s="76">
        <f t="shared" si="0"/>
        <v>0</v>
      </c>
      <c r="G4" s="67">
        <v>2.1</v>
      </c>
      <c r="H4" s="75">
        <v>2.1</v>
      </c>
      <c r="I4" s="69">
        <v>2.5</v>
      </c>
      <c r="J4" s="69">
        <v>2.9</v>
      </c>
      <c r="K4" s="70">
        <f t="shared" si="1"/>
        <v>1</v>
      </c>
      <c r="L4" s="71">
        <f t="shared" si="2"/>
        <v>1.1904761904761905</v>
      </c>
      <c r="M4" s="72">
        <f t="shared" si="3"/>
        <v>1.3809523809523809</v>
      </c>
      <c r="N4" s="77">
        <v>2</v>
      </c>
    </row>
    <row r="5" spans="2:14">
      <c r="B5" s="99" t="s">
        <v>52</v>
      </c>
      <c r="C5" s="74">
        <f>ABS('Driver Summary Sheet'!D10)</f>
        <v>0</v>
      </c>
      <c r="D5" s="71">
        <f t="shared" ref="D5:D11" si="4">C5/H5</f>
        <v>0</v>
      </c>
      <c r="E5" s="75">
        <f>ABS('Passenger Summary Sheet'!D10)</f>
        <v>0</v>
      </c>
      <c r="F5" s="76">
        <f t="shared" si="0"/>
        <v>0</v>
      </c>
      <c r="G5" s="67">
        <v>2.5</v>
      </c>
      <c r="H5" s="75">
        <v>2.5</v>
      </c>
      <c r="I5" s="69">
        <v>3</v>
      </c>
      <c r="J5" s="69">
        <v>3.5</v>
      </c>
      <c r="K5" s="70">
        <f t="shared" si="1"/>
        <v>1</v>
      </c>
      <c r="L5" s="71">
        <f t="shared" si="2"/>
        <v>1.2</v>
      </c>
      <c r="M5" s="72">
        <f t="shared" si="3"/>
        <v>1.4</v>
      </c>
      <c r="N5" s="77">
        <v>2</v>
      </c>
    </row>
    <row r="6" spans="2:14">
      <c r="B6" s="107" t="s">
        <v>71</v>
      </c>
      <c r="C6" s="108">
        <f>ABS(MAX('Driver Summary Sheet'!D15:D19))</f>
        <v>0</v>
      </c>
      <c r="D6" s="109">
        <f>C6/I6</f>
        <v>0</v>
      </c>
      <c r="E6" s="110">
        <f>ABS(MAX('Passenger Summary Sheet'!D15:D19))</f>
        <v>0</v>
      </c>
      <c r="F6" s="111">
        <f>E6/I6</f>
        <v>0</v>
      </c>
      <c r="G6" s="112">
        <v>50</v>
      </c>
      <c r="H6" s="110">
        <v>0</v>
      </c>
      <c r="I6" s="90">
        <v>50</v>
      </c>
      <c r="J6" s="90">
        <v>55</v>
      </c>
      <c r="K6" s="113">
        <v>1</v>
      </c>
      <c r="L6" s="109">
        <v>0</v>
      </c>
      <c r="M6" s="114">
        <f>J6/G6</f>
        <v>1.1000000000000001</v>
      </c>
      <c r="N6" s="73">
        <v>2</v>
      </c>
    </row>
    <row r="7" spans="2:14">
      <c r="B7" s="78" t="s">
        <v>74</v>
      </c>
      <c r="C7" s="137">
        <f>'Driver Summary Sheet'!D20</f>
        <v>0</v>
      </c>
      <c r="D7" s="71">
        <f>C7/H7</f>
        <v>0</v>
      </c>
      <c r="E7" s="68">
        <f>'Passenger Summary Sheet'!D20</f>
        <v>0</v>
      </c>
      <c r="F7" s="76">
        <f>E7/H7</f>
        <v>0</v>
      </c>
      <c r="G7" s="67">
        <v>34</v>
      </c>
      <c r="H7" s="75">
        <v>34</v>
      </c>
      <c r="I7" s="69">
        <v>42</v>
      </c>
      <c r="J7" s="69">
        <v>50</v>
      </c>
      <c r="K7" s="70">
        <f>H7/$H7</f>
        <v>1</v>
      </c>
      <c r="L7" s="71">
        <f>I7/$H7</f>
        <v>1.2352941176470589</v>
      </c>
      <c r="M7" s="72">
        <f>J7/$H7</f>
        <v>1.4705882352941178</v>
      </c>
      <c r="N7" s="77">
        <v>2</v>
      </c>
    </row>
    <row r="8" spans="2:14">
      <c r="B8" s="78" t="s">
        <v>72</v>
      </c>
      <c r="C8" s="74">
        <f>ABS(MAX('Driver Summary Sheet'!D21:D25))</f>
        <v>0</v>
      </c>
      <c r="D8" s="71">
        <f t="shared" si="4"/>
        <v>0</v>
      </c>
      <c r="E8" s="75">
        <f>ABS(MAX('Passenger Summary Sheet'!D21:D25))</f>
        <v>0</v>
      </c>
      <c r="F8" s="76">
        <f t="shared" si="0"/>
        <v>0</v>
      </c>
      <c r="G8" s="67">
        <v>8.1999999999999993</v>
      </c>
      <c r="H8" s="75">
        <v>8.1999999999999993</v>
      </c>
      <c r="I8" s="69">
        <v>9.84</v>
      </c>
      <c r="J8" s="69">
        <v>11.48</v>
      </c>
      <c r="K8" s="70">
        <f t="shared" si="1"/>
        <v>1</v>
      </c>
      <c r="L8" s="71">
        <f t="shared" si="2"/>
        <v>1.2000000000000002</v>
      </c>
      <c r="M8" s="72">
        <f t="shared" si="3"/>
        <v>1.4000000000000001</v>
      </c>
      <c r="N8" s="77">
        <v>2</v>
      </c>
    </row>
    <row r="9" spans="2:14">
      <c r="B9" s="115" t="s">
        <v>73</v>
      </c>
      <c r="C9" s="100">
        <f>ABS(MAX('Driver Summary Sheet'!D26:D30))</f>
        <v>0</v>
      </c>
      <c r="D9" s="101">
        <f t="shared" si="4"/>
        <v>0</v>
      </c>
      <c r="E9" s="102">
        <f>ABS(MAX('Passenger Summary Sheet'!D26:D30))</f>
        <v>0</v>
      </c>
      <c r="F9" s="103">
        <f t="shared" si="0"/>
        <v>0</v>
      </c>
      <c r="G9" s="116">
        <v>1</v>
      </c>
      <c r="H9" s="144">
        <v>1</v>
      </c>
      <c r="I9" s="103">
        <v>1.2</v>
      </c>
      <c r="J9" s="103">
        <v>1.4</v>
      </c>
      <c r="K9" s="105">
        <f t="shared" si="1"/>
        <v>1</v>
      </c>
      <c r="L9" s="101">
        <f t="shared" si="2"/>
        <v>1.2</v>
      </c>
      <c r="M9" s="106">
        <f t="shared" si="3"/>
        <v>1.4</v>
      </c>
      <c r="N9" s="79">
        <v>2</v>
      </c>
    </row>
    <row r="10" spans="2:14">
      <c r="B10" s="78" t="s">
        <v>53</v>
      </c>
      <c r="C10" s="74">
        <f>ABS('Driver Summary Sheet'!D32)</f>
        <v>0</v>
      </c>
      <c r="D10" s="71">
        <f t="shared" si="4"/>
        <v>0</v>
      </c>
      <c r="E10" s="75">
        <f>ABS('Passenger Summary Sheet'!D32)</f>
        <v>0</v>
      </c>
      <c r="F10" s="76">
        <f t="shared" si="0"/>
        <v>0</v>
      </c>
      <c r="G10" s="67">
        <v>4</v>
      </c>
      <c r="H10" s="118">
        <v>4</v>
      </c>
      <c r="I10" s="119">
        <v>4.8</v>
      </c>
      <c r="J10" s="119">
        <v>5.6</v>
      </c>
      <c r="K10" s="70">
        <f t="shared" si="1"/>
        <v>1</v>
      </c>
      <c r="L10" s="71">
        <f t="shared" si="2"/>
        <v>1.2</v>
      </c>
      <c r="M10" s="72">
        <f t="shared" si="3"/>
        <v>1.4</v>
      </c>
      <c r="N10" s="77">
        <v>2</v>
      </c>
    </row>
    <row r="11" spans="2:14">
      <c r="B11" s="78" t="s">
        <v>54</v>
      </c>
      <c r="C11" s="74">
        <f>'Driver Summary Sheet'!D33</f>
        <v>0</v>
      </c>
      <c r="D11" s="71">
        <f t="shared" si="4"/>
        <v>0</v>
      </c>
      <c r="E11" s="68">
        <f>'Passenger Summary Sheet'!D33</f>
        <v>0</v>
      </c>
      <c r="F11" s="76">
        <f t="shared" si="0"/>
        <v>0</v>
      </c>
      <c r="G11" s="67">
        <v>4</v>
      </c>
      <c r="H11" s="118">
        <v>4</v>
      </c>
      <c r="I11" s="119">
        <v>4.8</v>
      </c>
      <c r="J11" s="119">
        <v>5.6</v>
      </c>
      <c r="K11" s="70">
        <f t="shared" si="1"/>
        <v>1</v>
      </c>
      <c r="L11" s="71">
        <f t="shared" si="2"/>
        <v>1.2</v>
      </c>
      <c r="M11" s="72">
        <f t="shared" si="3"/>
        <v>1.4</v>
      </c>
      <c r="N11" s="77">
        <v>2</v>
      </c>
    </row>
    <row r="12" spans="2:14">
      <c r="B12" s="115" t="s">
        <v>57</v>
      </c>
      <c r="C12" s="100">
        <f>ABS('Driver Summary Sheet'!D34)</f>
        <v>0</v>
      </c>
      <c r="D12" s="101">
        <f>C12/H12</f>
        <v>0</v>
      </c>
      <c r="E12" s="117">
        <f>ABS('Passenger Summary Sheet'!D34)</f>
        <v>0</v>
      </c>
      <c r="F12" s="103">
        <f>E12/H12</f>
        <v>0</v>
      </c>
      <c r="G12" s="104">
        <v>5.0999999999999996</v>
      </c>
      <c r="H12" s="142">
        <v>5.0999999999999996</v>
      </c>
      <c r="I12" s="143">
        <v>6.1</v>
      </c>
      <c r="J12" s="143">
        <v>7.1</v>
      </c>
      <c r="K12" s="105">
        <f t="shared" ref="K12:M15" si="5">H12/$H12</f>
        <v>1</v>
      </c>
      <c r="L12" s="101">
        <f t="shared" si="5"/>
        <v>1.196078431372549</v>
      </c>
      <c r="M12" s="106">
        <f t="shared" si="5"/>
        <v>1.392156862745098</v>
      </c>
      <c r="N12" s="79">
        <v>2</v>
      </c>
    </row>
    <row r="13" spans="2:14">
      <c r="B13" s="78" t="s">
        <v>59</v>
      </c>
      <c r="C13" s="74">
        <f>ABS('Driver Summary Sheet'!D35)</f>
        <v>0</v>
      </c>
      <c r="D13" s="71">
        <f>C13/H13</f>
        <v>0</v>
      </c>
      <c r="E13" s="68">
        <f>ABS('Passenger Summary Sheet'!D35)</f>
        <v>0</v>
      </c>
      <c r="F13" s="76">
        <f>E13/H13</f>
        <v>0</v>
      </c>
      <c r="G13" s="67">
        <v>3.9</v>
      </c>
      <c r="H13" s="118">
        <v>2.8</v>
      </c>
      <c r="I13" s="119">
        <v>3.4</v>
      </c>
      <c r="J13" s="119">
        <v>3.9</v>
      </c>
      <c r="K13" s="70">
        <f t="shared" si="5"/>
        <v>1</v>
      </c>
      <c r="L13" s="71">
        <f t="shared" si="5"/>
        <v>1.2142857142857144</v>
      </c>
      <c r="M13" s="72">
        <f t="shared" si="5"/>
        <v>1.392857142857143</v>
      </c>
      <c r="N13" s="77">
        <v>2</v>
      </c>
    </row>
    <row r="14" spans="2:14">
      <c r="B14" s="78" t="s">
        <v>60</v>
      </c>
      <c r="C14" s="74">
        <f>ABS('Driver Summary Sheet'!D36)</f>
        <v>0</v>
      </c>
      <c r="D14" s="71">
        <f>C14/H14</f>
        <v>0</v>
      </c>
      <c r="E14" s="68">
        <f>ABS('Passenger Summary Sheet'!D36)</f>
        <v>0</v>
      </c>
      <c r="F14" s="76">
        <f>E14/H14</f>
        <v>0</v>
      </c>
      <c r="G14" s="67">
        <v>356</v>
      </c>
      <c r="H14" s="75">
        <v>254</v>
      </c>
      <c r="I14" s="69">
        <v>305</v>
      </c>
      <c r="J14" s="69">
        <v>356</v>
      </c>
      <c r="K14" s="70">
        <f t="shared" si="5"/>
        <v>1</v>
      </c>
      <c r="L14" s="71">
        <f t="shared" si="5"/>
        <v>1.2007874015748032</v>
      </c>
      <c r="M14" s="72">
        <f t="shared" si="5"/>
        <v>1.4015748031496063</v>
      </c>
      <c r="N14" s="77">
        <v>2</v>
      </c>
    </row>
    <row r="15" spans="2:14" ht="12.75" thickBot="1">
      <c r="B15" s="80" t="s">
        <v>61</v>
      </c>
      <c r="C15" s="81">
        <f>ABS('Driver Summary Sheet'!D37)</f>
        <v>0</v>
      </c>
      <c r="D15" s="82">
        <f>C15/H15</f>
        <v>0</v>
      </c>
      <c r="E15" s="97">
        <f>ABS('Passenger Summary Sheet'!D37)</f>
        <v>0</v>
      </c>
      <c r="F15" s="84">
        <f>E15/H15</f>
        <v>0</v>
      </c>
      <c r="G15" s="85">
        <v>356</v>
      </c>
      <c r="H15" s="83">
        <v>254</v>
      </c>
      <c r="I15" s="86">
        <v>305</v>
      </c>
      <c r="J15" s="86">
        <v>356</v>
      </c>
      <c r="K15" s="87">
        <f t="shared" si="5"/>
        <v>1</v>
      </c>
      <c r="L15" s="82">
        <f t="shared" si="5"/>
        <v>1.2007874015748032</v>
      </c>
      <c r="M15" s="88">
        <f t="shared" si="5"/>
        <v>1.4015748031496063</v>
      </c>
      <c r="N15" s="98">
        <v>2</v>
      </c>
    </row>
    <row r="18" spans="2:14">
      <c r="B18" s="140"/>
      <c r="C18" s="139"/>
      <c r="D18" s="138"/>
      <c r="E18" s="139"/>
      <c r="F18" s="138"/>
      <c r="G18" s="139"/>
      <c r="H18" s="139"/>
      <c r="I18" s="139"/>
      <c r="J18" s="139"/>
      <c r="K18" s="138"/>
      <c r="L18" s="138"/>
      <c r="M18" s="138"/>
      <c r="N18" s="138"/>
    </row>
    <row r="19" spans="2:14">
      <c r="C19" s="141"/>
      <c r="D19" s="138"/>
      <c r="E19" s="139"/>
      <c r="F19" s="138"/>
      <c r="G19" s="139"/>
      <c r="H19" s="139"/>
      <c r="I19" s="139"/>
      <c r="J19" s="139"/>
      <c r="K19" s="138"/>
      <c r="L19" s="138"/>
      <c r="M19" s="138"/>
      <c r="N19" s="138"/>
    </row>
    <row r="20" spans="2:14" ht="14.25">
      <c r="B20" s="2"/>
      <c r="C20" s="2"/>
    </row>
    <row r="21" spans="2:14" ht="14.25">
      <c r="B21" s="140"/>
      <c r="C21" s="2"/>
    </row>
    <row r="22" spans="2:14" ht="15">
      <c r="B22" s="1"/>
    </row>
    <row r="23" spans="2:14" ht="15">
      <c r="B23" s="1"/>
      <c r="C23" s="2"/>
    </row>
  </sheetData>
  <mergeCells count="4">
    <mergeCell ref="K1:M1"/>
    <mergeCell ref="H1:J1"/>
    <mergeCell ref="C1:D1"/>
    <mergeCell ref="E1:F1"/>
  </mergeCells>
  <phoneticPr fontId="4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79"/>
  <sheetViews>
    <sheetView tabSelected="1" zoomScaleNormal="100" workbookViewId="0">
      <selection activeCell="B39" sqref="B39"/>
    </sheetView>
  </sheetViews>
  <sheetFormatPr defaultRowHeight="15"/>
  <cols>
    <col min="1" max="1" width="18.44140625" style="1" customWidth="1"/>
    <col min="2" max="2" width="29.44140625" style="2" customWidth="1"/>
    <col min="3" max="6" width="8.88671875" style="2"/>
    <col min="7" max="7" width="3.77734375" style="2" customWidth="1"/>
    <col min="8" max="16" width="10.44140625" style="2" customWidth="1"/>
    <col min="17" max="16384" width="8.88671875" style="2"/>
  </cols>
  <sheetData>
    <row r="1" spans="1:9" ht="15.75">
      <c r="A1" s="1" t="s">
        <v>104</v>
      </c>
      <c r="B1" t="s">
        <v>103</v>
      </c>
      <c r="E1" s="3" t="s">
        <v>0</v>
      </c>
      <c r="F1" s="41"/>
    </row>
    <row r="2" spans="1:9" ht="30.75" customHeight="1">
      <c r="A2" s="47" t="s">
        <v>37</v>
      </c>
      <c r="B2" s="2" t="s">
        <v>105</v>
      </c>
      <c r="E2" s="3" t="s">
        <v>10</v>
      </c>
      <c r="F2" s="42"/>
    </row>
    <row r="3" spans="1:9" s="6" customFormat="1" ht="34.5" customHeight="1">
      <c r="A3" s="122" t="s">
        <v>1</v>
      </c>
      <c r="B3" s="27"/>
      <c r="C3" s="5" t="s">
        <v>2</v>
      </c>
      <c r="D3" s="5" t="s">
        <v>3</v>
      </c>
      <c r="E3" s="5" t="s">
        <v>35</v>
      </c>
      <c r="F3" s="5" t="s">
        <v>36</v>
      </c>
    </row>
    <row r="4" spans="1:9" s="6" customFormat="1" ht="12.75">
      <c r="A4" s="7" t="s">
        <v>4</v>
      </c>
      <c r="B4" s="8" t="s">
        <v>5</v>
      </c>
      <c r="C4" s="9"/>
      <c r="D4" s="23"/>
      <c r="E4" s="23"/>
      <c r="F4" s="23"/>
    </row>
    <row r="5" spans="1:9" s="6" customFormat="1" ht="12.75">
      <c r="A5" s="13"/>
      <c r="B5" s="4" t="s">
        <v>6</v>
      </c>
      <c r="C5" s="14"/>
      <c r="D5" s="10"/>
      <c r="E5" s="10"/>
      <c r="F5" s="10"/>
    </row>
    <row r="6" spans="1:9" s="6" customFormat="1" ht="12.75">
      <c r="A6" s="17"/>
      <c r="B6" s="18" t="s">
        <v>7</v>
      </c>
      <c r="C6" s="19">
        <v>779</v>
      </c>
      <c r="D6" s="43"/>
      <c r="E6" s="20"/>
      <c r="F6" s="20"/>
    </row>
    <row r="7" spans="1:9" s="6" customFormat="1" ht="12.75">
      <c r="A7" s="7" t="s">
        <v>8</v>
      </c>
      <c r="B7" s="25" t="s">
        <v>108</v>
      </c>
      <c r="C7" s="14"/>
      <c r="D7" s="48"/>
      <c r="E7" s="10"/>
      <c r="F7" s="10"/>
    </row>
    <row r="8" spans="1:9" s="6" customFormat="1" ht="12.75">
      <c r="A8" s="13"/>
      <c r="B8" s="22" t="s">
        <v>110</v>
      </c>
      <c r="C8" s="14"/>
      <c r="D8" s="48"/>
      <c r="E8" s="10"/>
      <c r="F8" s="10"/>
      <c r="H8" s="12"/>
    </row>
    <row r="9" spans="1:9" s="6" customFormat="1" ht="12.75">
      <c r="A9" s="13"/>
      <c r="B9" s="22" t="s">
        <v>30</v>
      </c>
      <c r="C9" s="14">
        <v>2.1</v>
      </c>
      <c r="D9" s="48"/>
      <c r="E9" s="10"/>
      <c r="F9" s="10"/>
      <c r="H9" s="12"/>
    </row>
    <row r="10" spans="1:9" s="6" customFormat="1" ht="12.75">
      <c r="A10" s="13"/>
      <c r="B10" s="22" t="s">
        <v>31</v>
      </c>
      <c r="C10" s="14">
        <v>2.5</v>
      </c>
      <c r="D10" s="48"/>
      <c r="E10" s="10"/>
      <c r="F10" s="10"/>
      <c r="H10" s="12"/>
    </row>
    <row r="11" spans="1:9" s="6" customFormat="1" ht="12.75">
      <c r="A11" s="13"/>
      <c r="B11" s="22" t="s">
        <v>55</v>
      </c>
      <c r="C11" s="14" t="s">
        <v>62</v>
      </c>
      <c r="D11" s="44"/>
      <c r="E11" s="10"/>
      <c r="F11" s="10"/>
      <c r="H11" s="12"/>
      <c r="I11" s="12"/>
    </row>
    <row r="12" spans="1:9" s="6" customFormat="1" ht="12.75">
      <c r="A12" s="13"/>
      <c r="B12" s="22" t="s">
        <v>56</v>
      </c>
      <c r="C12" s="14" t="s">
        <v>63</v>
      </c>
      <c r="D12" s="44"/>
      <c r="E12" s="10"/>
      <c r="F12" s="10"/>
    </row>
    <row r="13" spans="1:9" ht="14.25">
      <c r="A13" s="34" t="s">
        <v>21</v>
      </c>
      <c r="B13" s="25" t="s">
        <v>28</v>
      </c>
      <c r="C13" s="38">
        <v>60</v>
      </c>
      <c r="D13" s="11"/>
      <c r="E13" s="11"/>
      <c r="F13" s="11"/>
    </row>
    <row r="14" spans="1:9">
      <c r="A14" s="36"/>
      <c r="B14" s="26" t="s">
        <v>22</v>
      </c>
      <c r="C14" s="19"/>
      <c r="D14" s="32"/>
      <c r="E14" s="21"/>
      <c r="F14" s="21"/>
    </row>
    <row r="15" spans="1:9" s="6" customFormat="1" ht="12.75">
      <c r="A15" s="28" t="s">
        <v>11</v>
      </c>
      <c r="B15" s="8" t="s">
        <v>24</v>
      </c>
      <c r="C15" s="38">
        <v>34</v>
      </c>
      <c r="D15" s="45"/>
      <c r="E15" s="11"/>
      <c r="F15" s="11"/>
    </row>
    <row r="16" spans="1:9" s="6" customFormat="1" ht="12.75">
      <c r="A16" s="29"/>
      <c r="B16" s="16" t="s">
        <v>32</v>
      </c>
      <c r="C16" s="39">
        <v>34</v>
      </c>
      <c r="D16" s="46"/>
      <c r="E16" s="15"/>
      <c r="F16" s="15"/>
    </row>
    <row r="17" spans="1:6" s="6" customFormat="1" ht="12.75">
      <c r="A17" s="29"/>
      <c r="B17" s="16" t="s">
        <v>25</v>
      </c>
      <c r="C17" s="39">
        <v>34</v>
      </c>
      <c r="D17" s="46"/>
      <c r="E17" s="15"/>
      <c r="F17" s="15"/>
    </row>
    <row r="18" spans="1:6" s="6" customFormat="1" ht="12.75">
      <c r="A18" s="29"/>
      <c r="B18" s="16" t="s">
        <v>26</v>
      </c>
      <c r="C18" s="39">
        <v>32</v>
      </c>
      <c r="D18" s="46"/>
      <c r="E18" s="15"/>
      <c r="F18" s="15"/>
    </row>
    <row r="19" spans="1:6" s="6" customFormat="1" ht="12.75">
      <c r="A19" s="29"/>
      <c r="B19" s="16" t="s">
        <v>27</v>
      </c>
      <c r="C19" s="39">
        <v>32</v>
      </c>
      <c r="D19" s="15"/>
      <c r="E19" s="15"/>
      <c r="F19" s="15"/>
    </row>
    <row r="20" spans="1:6" s="6" customFormat="1" ht="12.75">
      <c r="A20" s="29"/>
      <c r="B20" s="16" t="s">
        <v>70</v>
      </c>
      <c r="C20" s="39"/>
      <c r="D20" s="15"/>
      <c r="E20" s="15"/>
      <c r="F20" s="15"/>
    </row>
    <row r="21" spans="1:6" s="6" customFormat="1" ht="12.75">
      <c r="A21" s="29"/>
      <c r="B21" s="8" t="s">
        <v>16</v>
      </c>
      <c r="C21" s="35">
        <v>8.1999999999999993</v>
      </c>
      <c r="D21" s="124"/>
      <c r="E21" s="11"/>
      <c r="F21" s="11"/>
    </row>
    <row r="22" spans="1:6" s="6" customFormat="1" ht="12.75">
      <c r="A22" s="29"/>
      <c r="B22" s="16" t="s">
        <v>33</v>
      </c>
      <c r="C22" s="123">
        <v>8.1999999999999993</v>
      </c>
      <c r="D22" s="125"/>
      <c r="E22" s="15"/>
      <c r="F22" s="15"/>
    </row>
    <row r="23" spans="1:6" s="6" customFormat="1" ht="12.75">
      <c r="A23" s="29"/>
      <c r="B23" s="16" t="s">
        <v>17</v>
      </c>
      <c r="C23" s="123">
        <v>8.1999999999999993</v>
      </c>
      <c r="D23" s="125"/>
      <c r="E23" s="15"/>
      <c r="F23" s="15"/>
    </row>
    <row r="24" spans="1:6" s="6" customFormat="1" ht="12.75">
      <c r="A24" s="29"/>
      <c r="B24" s="16" t="s">
        <v>18</v>
      </c>
      <c r="C24" s="123">
        <v>8.1999999999999993</v>
      </c>
      <c r="D24" s="125"/>
      <c r="E24" s="15"/>
      <c r="F24" s="15"/>
    </row>
    <row r="25" spans="1:6" s="6" customFormat="1" ht="12.75">
      <c r="A25" s="29"/>
      <c r="B25" s="16" t="s">
        <v>19</v>
      </c>
      <c r="C25" s="123">
        <v>8.1999999999999993</v>
      </c>
      <c r="D25" s="126"/>
      <c r="E25" s="15"/>
      <c r="F25" s="15"/>
    </row>
    <row r="26" spans="1:6" s="6" customFormat="1" ht="12.75">
      <c r="A26" s="29"/>
      <c r="B26" s="8" t="s">
        <v>12</v>
      </c>
      <c r="C26" s="35">
        <v>1</v>
      </c>
      <c r="D26" s="124"/>
      <c r="E26" s="11"/>
      <c r="F26" s="11"/>
    </row>
    <row r="27" spans="1:6" s="6" customFormat="1" ht="12.75">
      <c r="A27" s="29"/>
      <c r="B27" s="16" t="s">
        <v>34</v>
      </c>
      <c r="C27" s="123">
        <v>1</v>
      </c>
      <c r="D27" s="125"/>
      <c r="E27" s="15"/>
      <c r="F27" s="15"/>
    </row>
    <row r="28" spans="1:6" s="6" customFormat="1" ht="12.75">
      <c r="A28" s="29"/>
      <c r="B28" s="16" t="s">
        <v>13</v>
      </c>
      <c r="C28" s="123">
        <v>1</v>
      </c>
      <c r="D28" s="125"/>
      <c r="E28" s="15"/>
      <c r="F28" s="15"/>
    </row>
    <row r="29" spans="1:6" s="6" customFormat="1" ht="12.75">
      <c r="A29" s="29"/>
      <c r="B29" s="16" t="s">
        <v>14</v>
      </c>
      <c r="C29" s="123">
        <v>1</v>
      </c>
      <c r="D29" s="125"/>
      <c r="E29" s="15"/>
      <c r="F29" s="15"/>
    </row>
    <row r="30" spans="1:6" s="6" customFormat="1" ht="12.75">
      <c r="A30" s="29"/>
      <c r="B30" s="18" t="s">
        <v>15</v>
      </c>
      <c r="C30" s="123">
        <v>1</v>
      </c>
      <c r="D30" s="126"/>
      <c r="E30" s="21"/>
      <c r="F30" s="21"/>
    </row>
    <row r="31" spans="1:6" s="6" customFormat="1" ht="12.75">
      <c r="A31" s="7" t="s">
        <v>20</v>
      </c>
      <c r="B31" s="25" t="s">
        <v>9</v>
      </c>
      <c r="C31" s="9"/>
      <c r="D31" s="15"/>
      <c r="E31" s="11"/>
      <c r="F31" s="11"/>
    </row>
    <row r="32" spans="1:6" s="6" customFormat="1" ht="12.75">
      <c r="A32" s="13"/>
      <c r="B32" s="22" t="s">
        <v>23</v>
      </c>
      <c r="C32" s="24">
        <v>4</v>
      </c>
      <c r="D32" s="31"/>
      <c r="E32" s="15"/>
      <c r="F32" s="15"/>
    </row>
    <row r="33" spans="1:6" s="6" customFormat="1" ht="12.75">
      <c r="A33" s="13"/>
      <c r="B33" s="22" t="s">
        <v>29</v>
      </c>
      <c r="C33" s="24">
        <v>4</v>
      </c>
      <c r="D33" s="31"/>
      <c r="E33" s="15"/>
      <c r="F33" s="15"/>
    </row>
    <row r="34" spans="1:6" s="6" customFormat="1" ht="12.75">
      <c r="A34" s="22"/>
      <c r="B34" s="22" t="s">
        <v>38</v>
      </c>
      <c r="C34" s="24">
        <v>5.0999999999999996</v>
      </c>
      <c r="D34" s="31"/>
      <c r="E34" s="15"/>
      <c r="F34" s="15"/>
    </row>
    <row r="35" spans="1:6" s="6" customFormat="1" ht="12.75">
      <c r="A35" s="7" t="s">
        <v>58</v>
      </c>
      <c r="B35" s="25" t="s">
        <v>111</v>
      </c>
      <c r="C35" s="174" t="s">
        <v>68</v>
      </c>
      <c r="D35" s="37"/>
      <c r="E35" s="11"/>
      <c r="F35" s="11"/>
    </row>
    <row r="36" spans="1:6" s="6" customFormat="1" ht="12.75">
      <c r="A36" s="13"/>
      <c r="B36" s="22" t="s">
        <v>109</v>
      </c>
      <c r="C36" s="39" t="s">
        <v>69</v>
      </c>
      <c r="D36" s="15"/>
      <c r="E36" s="15"/>
      <c r="F36" s="15"/>
    </row>
    <row r="37" spans="1:6" s="6" customFormat="1" ht="12.75">
      <c r="A37" s="26"/>
      <c r="B37" s="26" t="s">
        <v>112</v>
      </c>
      <c r="C37" s="40" t="s">
        <v>69</v>
      </c>
      <c r="D37" s="21"/>
      <c r="E37" s="21"/>
      <c r="F37" s="21"/>
    </row>
    <row r="38" spans="1:6" ht="4.3499999999999996" customHeight="1">
      <c r="A38" s="12"/>
      <c r="B38" s="4"/>
      <c r="C38" s="33"/>
      <c r="D38" s="30"/>
      <c r="E38" s="30"/>
      <c r="F38" s="30"/>
    </row>
    <row r="39" spans="1:6" ht="14.25">
      <c r="A39" s="120"/>
      <c r="B39" s="4"/>
      <c r="C39" s="33"/>
      <c r="D39" s="30"/>
      <c r="E39" s="30"/>
      <c r="F39" s="30"/>
    </row>
    <row r="40" spans="1:6" ht="14.25">
      <c r="A40" s="121"/>
      <c r="B40" s="4"/>
      <c r="C40" s="33"/>
      <c r="D40" s="30"/>
      <c r="E40" s="30"/>
      <c r="F40" s="30"/>
    </row>
    <row r="41" spans="1:6" ht="35.25" customHeight="1">
      <c r="B41" s="4"/>
      <c r="C41" s="5" t="s">
        <v>3</v>
      </c>
      <c r="D41" s="5" t="s">
        <v>67</v>
      </c>
      <c r="E41" s="30"/>
      <c r="F41" s="4"/>
    </row>
    <row r="42" spans="1:6" ht="15" customHeight="1">
      <c r="A42" s="135" t="s">
        <v>107</v>
      </c>
      <c r="B42" s="128" t="s">
        <v>64</v>
      </c>
      <c r="C42" s="132"/>
      <c r="D42" s="136"/>
      <c r="E42" s="30"/>
      <c r="F42" s="4"/>
    </row>
    <row r="43" spans="1:6" ht="15" customHeight="1">
      <c r="A43" s="13" t="s">
        <v>106</v>
      </c>
      <c r="B43" s="129" t="s">
        <v>65</v>
      </c>
      <c r="C43" s="133"/>
      <c r="D43" s="10"/>
      <c r="E43" s="127"/>
      <c r="F43" s="131"/>
    </row>
    <row r="44" spans="1:6" ht="15" customHeight="1">
      <c r="A44" s="36"/>
      <c r="B44" s="130" t="s">
        <v>66</v>
      </c>
      <c r="C44" s="134"/>
      <c r="D44" s="20"/>
      <c r="E44" s="127"/>
      <c r="F44" s="131"/>
    </row>
    <row r="45" spans="1:6">
      <c r="F45" s="3"/>
    </row>
    <row r="46" spans="1:6" ht="14.25">
      <c r="A46" s="146"/>
      <c r="F46" s="3"/>
    </row>
    <row r="47" spans="1:6">
      <c r="F47" s="3"/>
    </row>
    <row r="48" spans="1:6">
      <c r="F48" s="3"/>
    </row>
    <row r="49" spans="6:6">
      <c r="F49" s="3"/>
    </row>
    <row r="50" spans="6:6">
      <c r="F50" s="3"/>
    </row>
    <row r="51" spans="6:6">
      <c r="F51" s="3"/>
    </row>
    <row r="52" spans="6:6">
      <c r="F52" s="3"/>
    </row>
    <row r="53" spans="6:6">
      <c r="F53" s="3"/>
    </row>
    <row r="67" spans="6:6">
      <c r="F67" s="3"/>
    </row>
    <row r="68" spans="6:6">
      <c r="F68" s="3"/>
    </row>
    <row r="69" spans="6:6">
      <c r="F69" s="3"/>
    </row>
    <row r="70" spans="6:6">
      <c r="F70" s="3"/>
    </row>
    <row r="71" spans="6:6">
      <c r="F71" s="3"/>
    </row>
    <row r="72" spans="6:6">
      <c r="F72" s="3"/>
    </row>
    <row r="73" spans="6:6">
      <c r="F73" s="3"/>
    </row>
    <row r="74" spans="6:6">
      <c r="F74" s="3"/>
    </row>
    <row r="75" spans="6:6">
      <c r="F75" s="3"/>
    </row>
    <row r="76" spans="6:6">
      <c r="F76" s="3"/>
    </row>
    <row r="77" spans="6:6">
      <c r="F77" s="3"/>
    </row>
    <row r="78" spans="6:6">
      <c r="F78" s="3"/>
    </row>
    <row r="79" spans="6:6">
      <c r="F79" s="3"/>
    </row>
  </sheetData>
  <phoneticPr fontId="0" type="noConversion"/>
  <pageMargins left="0.75" right="0.75" top="0.75" bottom="0.75" header="0.5" footer="0.5"/>
  <pageSetup scale="86" orientation="portrait" horizontalDpi="4294967292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I80"/>
  <sheetViews>
    <sheetView zoomScaleNormal="100" workbookViewId="0">
      <selection activeCell="B40" sqref="B40"/>
    </sheetView>
  </sheetViews>
  <sheetFormatPr defaultRowHeight="15"/>
  <cols>
    <col min="1" max="1" width="18.44140625" style="1" customWidth="1"/>
    <col min="2" max="2" width="29.44140625" style="2" customWidth="1"/>
    <col min="3" max="4" width="8.88671875" style="2"/>
    <col min="5" max="6" width="9" style="2" customWidth="1"/>
    <col min="7" max="7" width="3.77734375" style="2" customWidth="1"/>
    <col min="8" max="16" width="10.44140625" style="2" customWidth="1"/>
    <col min="17" max="16384" width="8.88671875" style="2"/>
  </cols>
  <sheetData>
    <row r="1" spans="1:9" ht="15.75">
      <c r="A1" s="1" t="s">
        <v>104</v>
      </c>
      <c r="B1" t="s">
        <v>103</v>
      </c>
      <c r="E1" s="3" t="s">
        <v>0</v>
      </c>
      <c r="F1" s="41"/>
    </row>
    <row r="2" spans="1:9" ht="30.75" customHeight="1">
      <c r="A2" s="47" t="s">
        <v>39</v>
      </c>
      <c r="B2" s="2" t="str">
        <f>'Driver Summary Sheet'!B2</f>
        <v>Striking Vehicle: XXX</v>
      </c>
      <c r="E2" s="3" t="s">
        <v>10</v>
      </c>
      <c r="F2" s="42"/>
    </row>
    <row r="3" spans="1:9" s="6" customFormat="1" ht="34.5" customHeight="1">
      <c r="A3" s="122" t="s">
        <v>1</v>
      </c>
      <c r="B3" s="27"/>
      <c r="C3" s="5" t="s">
        <v>2</v>
      </c>
      <c r="D3" s="5" t="s">
        <v>3</v>
      </c>
      <c r="E3" s="5" t="s">
        <v>35</v>
      </c>
      <c r="F3" s="5" t="s">
        <v>36</v>
      </c>
    </row>
    <row r="4" spans="1:9" s="6" customFormat="1" ht="12.75">
      <c r="A4" s="7" t="s">
        <v>4</v>
      </c>
      <c r="B4" s="8" t="s">
        <v>5</v>
      </c>
      <c r="C4" s="9"/>
      <c r="D4" s="169"/>
      <c r="E4" s="169"/>
      <c r="F4" s="169"/>
    </row>
    <row r="5" spans="1:9" s="6" customFormat="1" ht="12.75">
      <c r="A5" s="13"/>
      <c r="B5" s="4" t="s">
        <v>6</v>
      </c>
      <c r="C5" s="14"/>
      <c r="D5" s="44"/>
      <c r="E5" s="44"/>
      <c r="F5" s="44"/>
    </row>
    <row r="6" spans="1:9" s="6" customFormat="1" ht="12.75">
      <c r="A6" s="17"/>
      <c r="B6" s="18" t="s">
        <v>7</v>
      </c>
      <c r="C6" s="19">
        <v>779</v>
      </c>
      <c r="D6" s="43"/>
      <c r="E6" s="43"/>
      <c r="F6" s="43"/>
    </row>
    <row r="7" spans="1:9" s="6" customFormat="1" ht="12.75">
      <c r="A7" s="7" t="s">
        <v>8</v>
      </c>
      <c r="B7" s="25" t="s">
        <v>108</v>
      </c>
      <c r="C7" s="14"/>
      <c r="D7" s="48"/>
      <c r="E7" s="44"/>
      <c r="F7" s="44"/>
    </row>
    <row r="8" spans="1:9" s="6" customFormat="1" ht="12.75">
      <c r="A8" s="13"/>
      <c r="B8" s="22" t="s">
        <v>110</v>
      </c>
      <c r="C8" s="14"/>
      <c r="D8" s="48"/>
      <c r="E8" s="44"/>
      <c r="F8" s="44"/>
      <c r="H8" s="12"/>
    </row>
    <row r="9" spans="1:9" s="6" customFormat="1" ht="12.75">
      <c r="A9" s="13"/>
      <c r="B9" s="22" t="s">
        <v>30</v>
      </c>
      <c r="C9" s="14">
        <v>2.1</v>
      </c>
      <c r="D9" s="48"/>
      <c r="E9" s="44"/>
      <c r="F9" s="44"/>
      <c r="H9" s="12"/>
    </row>
    <row r="10" spans="1:9" s="6" customFormat="1" ht="12.75">
      <c r="A10" s="13"/>
      <c r="B10" s="22" t="s">
        <v>31</v>
      </c>
      <c r="C10" s="14">
        <v>2.5</v>
      </c>
      <c r="D10" s="48"/>
      <c r="E10" s="44"/>
      <c r="F10" s="44"/>
      <c r="H10" s="12"/>
    </row>
    <row r="11" spans="1:9" s="6" customFormat="1" ht="12.75">
      <c r="A11" s="13"/>
      <c r="B11" s="22" t="s">
        <v>55</v>
      </c>
      <c r="C11" s="14" t="s">
        <v>62</v>
      </c>
      <c r="D11" s="44"/>
      <c r="E11" s="44"/>
      <c r="F11" s="44"/>
      <c r="H11" s="12"/>
      <c r="I11" s="12"/>
    </row>
    <row r="12" spans="1:9" s="6" customFormat="1" ht="12.75">
      <c r="A12" s="13"/>
      <c r="B12" s="22" t="s">
        <v>56</v>
      </c>
      <c r="C12" s="14" t="s">
        <v>63</v>
      </c>
      <c r="D12" s="44"/>
      <c r="E12" s="44"/>
      <c r="F12" s="44"/>
    </row>
    <row r="13" spans="1:9" ht="14.25">
      <c r="A13" s="34" t="s">
        <v>21</v>
      </c>
      <c r="B13" s="25" t="s">
        <v>28</v>
      </c>
      <c r="C13" s="38">
        <v>60</v>
      </c>
      <c r="D13" s="45"/>
      <c r="E13" s="45"/>
      <c r="F13" s="45"/>
    </row>
    <row r="14" spans="1:9">
      <c r="A14" s="36"/>
      <c r="B14" s="26" t="s">
        <v>22</v>
      </c>
      <c r="C14" s="19"/>
      <c r="D14" s="134"/>
      <c r="E14" s="170"/>
      <c r="F14" s="170"/>
    </row>
    <row r="15" spans="1:9" s="6" customFormat="1" ht="12.75">
      <c r="A15" s="28" t="s">
        <v>11</v>
      </c>
      <c r="B15" s="8" t="s">
        <v>24</v>
      </c>
      <c r="C15" s="38">
        <v>34</v>
      </c>
      <c r="D15" s="45"/>
      <c r="E15" s="45"/>
      <c r="F15" s="45"/>
    </row>
    <row r="16" spans="1:9" s="6" customFormat="1" ht="12.75">
      <c r="A16" s="29"/>
      <c r="B16" s="16" t="s">
        <v>32</v>
      </c>
      <c r="C16" s="39">
        <v>34</v>
      </c>
      <c r="D16" s="46"/>
      <c r="E16" s="46"/>
      <c r="F16" s="46"/>
    </row>
    <row r="17" spans="1:6" s="6" customFormat="1" ht="12.75">
      <c r="A17" s="29"/>
      <c r="B17" s="16" t="s">
        <v>25</v>
      </c>
      <c r="C17" s="39">
        <v>34</v>
      </c>
      <c r="D17" s="46"/>
      <c r="E17" s="46"/>
      <c r="F17" s="46"/>
    </row>
    <row r="18" spans="1:6" s="6" customFormat="1" ht="12.75">
      <c r="A18" s="29"/>
      <c r="B18" s="16" t="s">
        <v>26</v>
      </c>
      <c r="C18" s="39">
        <v>32</v>
      </c>
      <c r="D18" s="46"/>
      <c r="E18" s="46"/>
      <c r="F18" s="46"/>
    </row>
    <row r="19" spans="1:6" s="6" customFormat="1" ht="12.75">
      <c r="A19" s="29"/>
      <c r="B19" s="16" t="s">
        <v>27</v>
      </c>
      <c r="C19" s="39">
        <v>32</v>
      </c>
      <c r="D19" s="46"/>
      <c r="E19" s="46"/>
      <c r="F19" s="46"/>
    </row>
    <row r="20" spans="1:6" s="6" customFormat="1" ht="12.75">
      <c r="A20" s="29"/>
      <c r="B20" s="16" t="s">
        <v>70</v>
      </c>
      <c r="C20" s="39"/>
      <c r="D20" s="46"/>
      <c r="E20" s="46"/>
      <c r="F20" s="46"/>
    </row>
    <row r="21" spans="1:6" s="6" customFormat="1" ht="12.75">
      <c r="A21" s="29"/>
      <c r="B21" s="8" t="s">
        <v>16</v>
      </c>
      <c r="C21" s="35">
        <v>8.1999999999999993</v>
      </c>
      <c r="D21" s="171"/>
      <c r="E21" s="45"/>
      <c r="F21" s="45"/>
    </row>
    <row r="22" spans="1:6" s="6" customFormat="1" ht="12.75">
      <c r="A22" s="29"/>
      <c r="B22" s="16" t="s">
        <v>33</v>
      </c>
      <c r="C22" s="123">
        <v>8.1999999999999993</v>
      </c>
      <c r="D22" s="172"/>
      <c r="E22" s="46"/>
      <c r="F22" s="46"/>
    </row>
    <row r="23" spans="1:6" s="6" customFormat="1" ht="12.75">
      <c r="A23" s="29"/>
      <c r="B23" s="16" t="s">
        <v>17</v>
      </c>
      <c r="C23" s="123">
        <v>8.1999999999999993</v>
      </c>
      <c r="D23" s="172"/>
      <c r="E23" s="46"/>
      <c r="F23" s="46"/>
    </row>
    <row r="24" spans="1:6" s="6" customFormat="1" ht="12.75">
      <c r="A24" s="29"/>
      <c r="B24" s="16" t="s">
        <v>18</v>
      </c>
      <c r="C24" s="123">
        <v>8.1999999999999993</v>
      </c>
      <c r="D24" s="172"/>
      <c r="E24" s="46"/>
      <c r="F24" s="46"/>
    </row>
    <row r="25" spans="1:6" s="6" customFormat="1" ht="12.75">
      <c r="A25" s="29"/>
      <c r="B25" s="16" t="s">
        <v>19</v>
      </c>
      <c r="C25" s="123">
        <v>8.1999999999999993</v>
      </c>
      <c r="D25" s="173"/>
      <c r="E25" s="46"/>
      <c r="F25" s="46"/>
    </row>
    <row r="26" spans="1:6" s="6" customFormat="1" ht="12.75">
      <c r="A26" s="29"/>
      <c r="B26" s="8" t="s">
        <v>12</v>
      </c>
      <c r="C26" s="35">
        <v>1</v>
      </c>
      <c r="D26" s="171"/>
      <c r="E26" s="45"/>
      <c r="F26" s="45"/>
    </row>
    <row r="27" spans="1:6" s="6" customFormat="1" ht="12.75">
      <c r="A27" s="29"/>
      <c r="B27" s="16" t="s">
        <v>34</v>
      </c>
      <c r="C27" s="123">
        <v>1</v>
      </c>
      <c r="D27" s="172"/>
      <c r="E27" s="46"/>
      <c r="F27" s="46"/>
    </row>
    <row r="28" spans="1:6" s="6" customFormat="1" ht="12.75">
      <c r="A28" s="29"/>
      <c r="B28" s="16" t="s">
        <v>13</v>
      </c>
      <c r="C28" s="123">
        <v>1</v>
      </c>
      <c r="D28" s="172"/>
      <c r="E28" s="46"/>
      <c r="F28" s="46"/>
    </row>
    <row r="29" spans="1:6" s="6" customFormat="1" ht="12.75">
      <c r="A29" s="29"/>
      <c r="B29" s="16" t="s">
        <v>14</v>
      </c>
      <c r="C29" s="123">
        <v>1</v>
      </c>
      <c r="D29" s="172"/>
      <c r="E29" s="46"/>
      <c r="F29" s="46"/>
    </row>
    <row r="30" spans="1:6" s="6" customFormat="1" ht="12.75">
      <c r="A30" s="29"/>
      <c r="B30" s="18" t="s">
        <v>15</v>
      </c>
      <c r="C30" s="123">
        <v>1</v>
      </c>
      <c r="D30" s="173"/>
      <c r="E30" s="170"/>
      <c r="F30" s="170"/>
    </row>
    <row r="31" spans="1:6" s="6" customFormat="1" ht="12.75">
      <c r="A31" s="7" t="s">
        <v>20</v>
      </c>
      <c r="B31" s="25" t="s">
        <v>9</v>
      </c>
      <c r="C31" s="9"/>
      <c r="D31" s="46"/>
      <c r="E31" s="45"/>
      <c r="F31" s="45"/>
    </row>
    <row r="32" spans="1:6" s="6" customFormat="1" ht="12.75">
      <c r="A32" s="13"/>
      <c r="B32" s="22" t="s">
        <v>23</v>
      </c>
      <c r="C32" s="24">
        <v>4</v>
      </c>
      <c r="D32" s="133"/>
      <c r="E32" s="46"/>
      <c r="F32" s="46"/>
    </row>
    <row r="33" spans="1:6" s="6" customFormat="1" ht="12.75">
      <c r="A33" s="13"/>
      <c r="B33" s="22" t="s">
        <v>29</v>
      </c>
      <c r="C33" s="24">
        <v>4</v>
      </c>
      <c r="D33" s="133"/>
      <c r="E33" s="46"/>
      <c r="F33" s="46"/>
    </row>
    <row r="34" spans="1:6" s="6" customFormat="1" ht="12.75">
      <c r="A34" s="22"/>
      <c r="B34" s="22" t="s">
        <v>38</v>
      </c>
      <c r="C34" s="24">
        <v>5.0999999999999996</v>
      </c>
      <c r="D34" s="133"/>
      <c r="E34" s="46"/>
      <c r="F34" s="46"/>
    </row>
    <row r="35" spans="1:6" s="6" customFormat="1" ht="12.75">
      <c r="A35" s="7" t="s">
        <v>58</v>
      </c>
      <c r="B35" s="25" t="s">
        <v>111</v>
      </c>
      <c r="C35" s="174" t="s">
        <v>68</v>
      </c>
      <c r="D35" s="175"/>
      <c r="E35" s="45"/>
      <c r="F35" s="45"/>
    </row>
    <row r="36" spans="1:6" s="6" customFormat="1" ht="12.75">
      <c r="A36" s="13"/>
      <c r="B36" s="22" t="s">
        <v>109</v>
      </c>
      <c r="C36" s="39" t="s">
        <v>69</v>
      </c>
      <c r="D36" s="46"/>
      <c r="E36" s="46"/>
      <c r="F36" s="46"/>
    </row>
    <row r="37" spans="1:6" s="6" customFormat="1" ht="12.75">
      <c r="A37" s="26"/>
      <c r="B37" s="26" t="s">
        <v>112</v>
      </c>
      <c r="C37" s="40" t="s">
        <v>69</v>
      </c>
      <c r="D37" s="170"/>
      <c r="E37" s="170"/>
      <c r="F37" s="170"/>
    </row>
    <row r="38" spans="1:6" ht="4.3499999999999996" customHeight="1">
      <c r="A38" s="12"/>
      <c r="B38" s="4"/>
      <c r="C38" s="33"/>
      <c r="D38" s="30"/>
      <c r="E38" s="30"/>
      <c r="F38" s="30"/>
    </row>
    <row r="39" spans="1:6" ht="14.25">
      <c r="A39" s="120"/>
      <c r="B39" s="4"/>
      <c r="C39" s="33"/>
      <c r="D39" s="30"/>
      <c r="E39" s="30"/>
      <c r="F39" s="30"/>
    </row>
    <row r="40" spans="1:6" ht="14.25">
      <c r="A40" s="121"/>
      <c r="B40" s="4"/>
      <c r="C40" s="33"/>
      <c r="D40" s="30"/>
      <c r="E40" s="30"/>
      <c r="F40" s="30"/>
    </row>
    <row r="41" spans="1:6" ht="35.25" customHeight="1">
      <c r="B41" s="4"/>
      <c r="C41" s="5" t="s">
        <v>3</v>
      </c>
      <c r="D41" s="5" t="s">
        <v>67</v>
      </c>
      <c r="E41" s="30"/>
      <c r="F41" s="4"/>
    </row>
    <row r="42" spans="1:6" ht="14.25">
      <c r="A42" s="135" t="s">
        <v>107</v>
      </c>
      <c r="B42" s="128" t="s">
        <v>64</v>
      </c>
      <c r="C42" s="132"/>
      <c r="D42" s="176"/>
      <c r="E42" s="30"/>
      <c r="F42" s="4"/>
    </row>
    <row r="43" spans="1:6" ht="14.25">
      <c r="A43" s="13" t="s">
        <v>106</v>
      </c>
      <c r="B43" s="129" t="s">
        <v>65</v>
      </c>
      <c r="C43" s="175"/>
      <c r="D43" s="45"/>
      <c r="E43" s="127"/>
      <c r="F43" s="131"/>
    </row>
    <row r="44" spans="1:6">
      <c r="A44" s="36"/>
      <c r="B44" s="130" t="s">
        <v>66</v>
      </c>
      <c r="C44" s="134"/>
      <c r="D44" s="170"/>
      <c r="E44" s="127"/>
      <c r="F44" s="131"/>
    </row>
    <row r="45" spans="1:6">
      <c r="F45" s="3"/>
    </row>
    <row r="46" spans="1:6" ht="14.25">
      <c r="A46" s="146"/>
      <c r="F46" s="3"/>
    </row>
    <row r="47" spans="1:6">
      <c r="F47" s="3"/>
    </row>
    <row r="48" spans="1:6">
      <c r="F48" s="3"/>
    </row>
    <row r="49" spans="6:6">
      <c r="F49" s="3"/>
    </row>
    <row r="50" spans="6:6">
      <c r="F50" s="3"/>
    </row>
    <row r="51" spans="6:6">
      <c r="F51" s="3"/>
    </row>
    <row r="52" spans="6:6">
      <c r="F52" s="3"/>
    </row>
    <row r="53" spans="6:6">
      <c r="F53" s="3"/>
    </row>
    <row r="54" spans="6:6">
      <c r="F54" s="3"/>
    </row>
    <row r="68" spans="6:6">
      <c r="F68" s="3"/>
    </row>
    <row r="69" spans="6:6">
      <c r="F69" s="3"/>
    </row>
    <row r="70" spans="6:6">
      <c r="F70" s="3"/>
    </row>
    <row r="71" spans="6:6">
      <c r="F71" s="3"/>
    </row>
    <row r="72" spans="6:6">
      <c r="F72" s="3"/>
    </row>
    <row r="73" spans="6:6">
      <c r="F73" s="3"/>
    </row>
    <row r="74" spans="6:6">
      <c r="F74" s="3"/>
    </row>
    <row r="75" spans="6:6">
      <c r="F75" s="3"/>
    </row>
    <row r="76" spans="6:6">
      <c r="F76" s="3"/>
    </row>
    <row r="77" spans="6:6">
      <c r="F77" s="3"/>
    </row>
    <row r="78" spans="6:6">
      <c r="F78" s="3"/>
    </row>
    <row r="79" spans="6:6">
      <c r="F79" s="3"/>
    </row>
    <row r="80" spans="6:6">
      <c r="F80" s="3"/>
    </row>
  </sheetData>
  <phoneticPr fontId="0" type="noConversion"/>
  <pageMargins left="0.75" right="0.75" top="0.75" bottom="0.75" header="0.5" footer="0.5"/>
  <pageSetup scale="84" orientation="portrait" horizontalDpi="4294967292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8"/>
  <sheetViews>
    <sheetView topLeftCell="A10" workbookViewId="0">
      <selection activeCell="C47" sqref="C47"/>
    </sheetView>
  </sheetViews>
  <sheetFormatPr defaultRowHeight="15"/>
  <cols>
    <col min="1" max="1" width="24.44140625" style="177" customWidth="1"/>
    <col min="2" max="4" width="10" style="177" customWidth="1"/>
    <col min="5" max="5" width="17.109375" style="177" customWidth="1"/>
    <col min="6" max="6" width="2.109375" style="177" customWidth="1"/>
    <col min="7" max="7" width="28.44140625" style="177" customWidth="1"/>
    <col min="8" max="8" width="25.33203125" style="177" customWidth="1"/>
    <col min="9" max="9" width="16.77734375" style="177" bestFit="1" customWidth="1"/>
    <col min="10" max="16384" width="8.88671875" style="177"/>
  </cols>
  <sheetData>
    <row r="1" spans="1:9" ht="15.75" thickBot="1">
      <c r="A1" s="222" t="s">
        <v>118</v>
      </c>
      <c r="B1" s="223"/>
      <c r="C1" s="223"/>
      <c r="D1" s="223"/>
      <c r="E1" s="224"/>
    </row>
    <row r="2" spans="1:9">
      <c r="A2" s="196" t="s">
        <v>124</v>
      </c>
      <c r="B2" s="197"/>
      <c r="C2" s="198"/>
      <c r="D2" s="198"/>
      <c r="E2" s="199"/>
    </row>
    <row r="3" spans="1:9">
      <c r="A3" s="180" t="s">
        <v>125</v>
      </c>
      <c r="B3" s="181"/>
      <c r="C3" s="181"/>
      <c r="D3" s="200"/>
      <c r="E3" s="201"/>
    </row>
    <row r="4" spans="1:9">
      <c r="A4" s="180" t="s">
        <v>127</v>
      </c>
      <c r="B4" s="181"/>
      <c r="C4" s="181"/>
      <c r="D4" s="181"/>
      <c r="E4" s="183"/>
    </row>
    <row r="5" spans="1:9" ht="15.75" thickBot="1">
      <c r="A5" s="182" t="s">
        <v>126</v>
      </c>
      <c r="B5" s="184"/>
      <c r="C5" s="184"/>
      <c r="D5" s="203"/>
      <c r="E5" s="202"/>
    </row>
    <row r="6" spans="1:9">
      <c r="A6" s="179"/>
      <c r="B6" s="178"/>
      <c r="C6" s="178"/>
      <c r="D6" s="178"/>
      <c r="E6" s="178"/>
    </row>
    <row r="7" spans="1:9" ht="15.75" thickBot="1"/>
    <row r="8" spans="1:9" ht="15.75" thickBot="1">
      <c r="A8" s="222" t="s">
        <v>113</v>
      </c>
      <c r="B8" s="223"/>
      <c r="C8" s="223"/>
      <c r="D8" s="223"/>
      <c r="E8" s="224"/>
      <c r="G8" s="222" t="s">
        <v>117</v>
      </c>
      <c r="H8" s="223"/>
      <c r="I8" s="224"/>
    </row>
    <row r="9" spans="1:9">
      <c r="A9" s="190" t="s">
        <v>114</v>
      </c>
      <c r="B9" s="191" t="s">
        <v>115</v>
      </c>
      <c r="C9" s="185"/>
      <c r="D9" s="186"/>
      <c r="E9" s="192" t="s">
        <v>116</v>
      </c>
      <c r="G9" s="190" t="s">
        <v>114</v>
      </c>
      <c r="H9" s="193" t="s">
        <v>115</v>
      </c>
      <c r="I9" s="192" t="s">
        <v>116</v>
      </c>
    </row>
    <row r="10" spans="1:9">
      <c r="A10" s="187">
        <v>1</v>
      </c>
      <c r="B10" s="233"/>
      <c r="C10" s="233"/>
      <c r="D10" s="233"/>
      <c r="E10" s="183"/>
      <c r="G10" s="187">
        <v>1</v>
      </c>
      <c r="H10" s="181"/>
      <c r="I10" s="183"/>
    </row>
    <row r="11" spans="1:9">
      <c r="A11" s="187">
        <v>2</v>
      </c>
      <c r="B11" s="233"/>
      <c r="C11" s="233"/>
      <c r="D11" s="233"/>
      <c r="E11" s="183"/>
      <c r="G11" s="187">
        <v>2</v>
      </c>
      <c r="H11" s="181"/>
      <c r="I11" s="183"/>
    </row>
    <row r="12" spans="1:9">
      <c r="A12" s="187">
        <v>3</v>
      </c>
      <c r="B12" s="233"/>
      <c r="C12" s="233"/>
      <c r="D12" s="233"/>
      <c r="E12" s="183"/>
      <c r="G12" s="187">
        <v>3</v>
      </c>
      <c r="H12" s="181"/>
      <c r="I12" s="183"/>
    </row>
    <row r="13" spans="1:9">
      <c r="A13" s="187">
        <v>4</v>
      </c>
      <c r="B13" s="233"/>
      <c r="C13" s="233"/>
      <c r="D13" s="233"/>
      <c r="E13" s="183"/>
      <c r="G13" s="187">
        <v>4</v>
      </c>
      <c r="H13" s="181"/>
      <c r="I13" s="183"/>
    </row>
    <row r="14" spans="1:9">
      <c r="A14" s="187">
        <v>5</v>
      </c>
      <c r="B14" s="233"/>
      <c r="C14" s="233"/>
      <c r="D14" s="233"/>
      <c r="E14" s="183"/>
      <c r="G14" s="187">
        <v>5</v>
      </c>
      <c r="H14" s="181"/>
      <c r="I14" s="183"/>
    </row>
    <row r="15" spans="1:9">
      <c r="A15" s="187">
        <v>6</v>
      </c>
      <c r="B15" s="233"/>
      <c r="C15" s="233"/>
      <c r="D15" s="233"/>
      <c r="E15" s="183"/>
      <c r="G15" s="187">
        <v>6</v>
      </c>
      <c r="H15" s="181"/>
      <c r="I15" s="183"/>
    </row>
    <row r="16" spans="1:9">
      <c r="A16" s="187">
        <v>7</v>
      </c>
      <c r="B16" s="233"/>
      <c r="C16" s="233"/>
      <c r="D16" s="233"/>
      <c r="E16" s="183"/>
      <c r="G16" s="187">
        <v>7</v>
      </c>
      <c r="H16" s="181"/>
      <c r="I16" s="183"/>
    </row>
    <row r="17" spans="1:9">
      <c r="A17" s="187">
        <v>8</v>
      </c>
      <c r="B17" s="233"/>
      <c r="C17" s="233"/>
      <c r="D17" s="233"/>
      <c r="E17" s="183"/>
      <c r="G17" s="187">
        <v>8</v>
      </c>
      <c r="H17" s="181"/>
      <c r="I17" s="183"/>
    </row>
    <row r="18" spans="1:9">
      <c r="A18" s="187">
        <v>9</v>
      </c>
      <c r="B18" s="233"/>
      <c r="C18" s="233"/>
      <c r="D18" s="233"/>
      <c r="E18" s="183"/>
      <c r="G18" s="187">
        <v>9</v>
      </c>
      <c r="H18" s="181"/>
      <c r="I18" s="183"/>
    </row>
    <row r="19" spans="1:9">
      <c r="A19" s="187">
        <v>10</v>
      </c>
      <c r="B19" s="233"/>
      <c r="C19" s="233"/>
      <c r="D19" s="233"/>
      <c r="E19" s="183"/>
      <c r="G19" s="187">
        <v>10</v>
      </c>
      <c r="H19" s="181"/>
      <c r="I19" s="183"/>
    </row>
    <row r="20" spans="1:9">
      <c r="A20" s="187">
        <v>11</v>
      </c>
      <c r="B20" s="233"/>
      <c r="C20" s="233"/>
      <c r="D20" s="233"/>
      <c r="E20" s="183"/>
      <c r="G20" s="187">
        <v>11</v>
      </c>
      <c r="H20" s="181"/>
      <c r="I20" s="183"/>
    </row>
    <row r="21" spans="1:9">
      <c r="A21" s="187">
        <v>12</v>
      </c>
      <c r="B21" s="233"/>
      <c r="C21" s="233"/>
      <c r="D21" s="233"/>
      <c r="E21" s="183"/>
      <c r="G21" s="187">
        <v>12</v>
      </c>
      <c r="H21" s="181"/>
      <c r="I21" s="183"/>
    </row>
    <row r="22" spans="1:9">
      <c r="A22" s="187">
        <v>13</v>
      </c>
      <c r="B22" s="233"/>
      <c r="C22" s="233"/>
      <c r="D22" s="233"/>
      <c r="E22" s="183"/>
      <c r="G22" s="187">
        <v>13</v>
      </c>
      <c r="H22" s="181"/>
      <c r="I22" s="183"/>
    </row>
    <row r="23" spans="1:9">
      <c r="A23" s="187">
        <v>14</v>
      </c>
      <c r="B23" s="233"/>
      <c r="C23" s="233"/>
      <c r="D23" s="233"/>
      <c r="E23" s="183"/>
      <c r="G23" s="187">
        <v>14</v>
      </c>
      <c r="H23" s="181"/>
      <c r="I23" s="183"/>
    </row>
    <row r="24" spans="1:9" ht="15.75" thickBot="1">
      <c r="A24" s="188">
        <v>15</v>
      </c>
      <c r="B24" s="234"/>
      <c r="C24" s="234"/>
      <c r="D24" s="234"/>
      <c r="E24" s="189"/>
      <c r="G24" s="188">
        <v>15</v>
      </c>
      <c r="H24" s="184"/>
      <c r="I24" s="189"/>
    </row>
    <row r="26" spans="1:9" ht="15.75" thickBot="1"/>
    <row r="27" spans="1:9" ht="15.75" thickBot="1">
      <c r="A27" s="222" t="s">
        <v>119</v>
      </c>
      <c r="B27" s="223"/>
      <c r="C27" s="223"/>
      <c r="D27" s="223"/>
      <c r="E27" s="224"/>
      <c r="G27" s="222" t="s">
        <v>120</v>
      </c>
      <c r="H27" s="223"/>
      <c r="I27" s="224"/>
    </row>
    <row r="28" spans="1:9">
      <c r="A28" s="235" t="s">
        <v>121</v>
      </c>
      <c r="B28" s="236"/>
      <c r="C28" s="236"/>
      <c r="D28" s="236"/>
      <c r="E28" s="195" t="s">
        <v>122</v>
      </c>
      <c r="G28" s="231" t="s">
        <v>121</v>
      </c>
      <c r="H28" s="232"/>
      <c r="I28" s="195" t="s">
        <v>122</v>
      </c>
    </row>
    <row r="29" spans="1:9" ht="15" customHeight="1">
      <c r="A29" s="227" t="s">
        <v>20</v>
      </c>
      <c r="B29" s="228"/>
      <c r="C29" s="228"/>
      <c r="D29" s="228"/>
      <c r="E29" s="183"/>
      <c r="G29" s="225" t="s">
        <v>20</v>
      </c>
      <c r="H29" s="226"/>
      <c r="I29" s="183"/>
    </row>
    <row r="30" spans="1:9" ht="15" customHeight="1">
      <c r="A30" s="227" t="s">
        <v>123</v>
      </c>
      <c r="B30" s="228"/>
      <c r="C30" s="228"/>
      <c r="D30" s="228"/>
      <c r="E30" s="183"/>
      <c r="G30" s="227" t="s">
        <v>123</v>
      </c>
      <c r="H30" s="228"/>
      <c r="I30" s="183"/>
    </row>
    <row r="31" spans="1:9" ht="15.75" customHeight="1" thickBot="1">
      <c r="A31" s="229" t="s">
        <v>21</v>
      </c>
      <c r="B31" s="230"/>
      <c r="C31" s="230"/>
      <c r="D31" s="230"/>
      <c r="E31" s="189"/>
      <c r="G31" s="229" t="s">
        <v>21</v>
      </c>
      <c r="H31" s="230"/>
      <c r="I31" s="189"/>
    </row>
    <row r="33" spans="1:9" ht="15.75" thickBot="1"/>
    <row r="34" spans="1:9" ht="15.75" thickBot="1">
      <c r="A34" s="222" t="s">
        <v>128</v>
      </c>
      <c r="B34" s="223"/>
      <c r="C34" s="224"/>
    </row>
    <row r="35" spans="1:9">
      <c r="A35" s="220" t="s">
        <v>129</v>
      </c>
      <c r="B35" s="221"/>
      <c r="C35" s="194"/>
    </row>
    <row r="36" spans="1:9">
      <c r="A36" s="216" t="s">
        <v>130</v>
      </c>
      <c r="B36" s="217"/>
      <c r="C36" s="183"/>
    </row>
    <row r="37" spans="1:9">
      <c r="A37" s="216" t="s">
        <v>131</v>
      </c>
      <c r="B37" s="217"/>
      <c r="C37" s="183"/>
    </row>
    <row r="38" spans="1:9">
      <c r="A38" s="216" t="s">
        <v>132</v>
      </c>
      <c r="B38" s="217"/>
      <c r="C38" s="183"/>
    </row>
    <row r="39" spans="1:9">
      <c r="A39" s="216" t="s">
        <v>133</v>
      </c>
      <c r="B39" s="217"/>
      <c r="C39" s="183"/>
    </row>
    <row r="40" spans="1:9">
      <c r="A40" s="216" t="s">
        <v>134</v>
      </c>
      <c r="B40" s="217"/>
      <c r="C40" s="183"/>
    </row>
    <row r="41" spans="1:9">
      <c r="A41" s="216" t="s">
        <v>135</v>
      </c>
      <c r="B41" s="217"/>
      <c r="C41" s="183"/>
    </row>
    <row r="42" spans="1:9" ht="15.75" thickBot="1">
      <c r="A42" s="218" t="s">
        <v>136</v>
      </c>
      <c r="B42" s="219"/>
      <c r="C42" s="189"/>
    </row>
    <row r="44" spans="1:9" ht="15.75" thickBot="1"/>
    <row r="45" spans="1:9" ht="45" customHeight="1" thickBot="1">
      <c r="A45" s="211" t="s">
        <v>137</v>
      </c>
      <c r="B45" s="212"/>
      <c r="C45" s="213"/>
      <c r="D45" s="214"/>
      <c r="E45" s="214"/>
      <c r="F45" s="214"/>
      <c r="G45" s="214"/>
      <c r="H45" s="214"/>
      <c r="I45" s="215"/>
    </row>
    <row r="47" spans="1:9" ht="15.75" thickBot="1"/>
    <row r="48" spans="1:9" ht="45" customHeight="1" thickBot="1">
      <c r="A48" s="211" t="s">
        <v>138</v>
      </c>
      <c r="B48" s="212"/>
      <c r="C48" s="213"/>
      <c r="D48" s="214"/>
      <c r="E48" s="214"/>
      <c r="F48" s="214"/>
      <c r="G48" s="214"/>
      <c r="H48" s="214"/>
      <c r="I48" s="215"/>
    </row>
  </sheetData>
  <mergeCells count="41">
    <mergeCell ref="G8:I8"/>
    <mergeCell ref="A34:C34"/>
    <mergeCell ref="A27:E27"/>
    <mergeCell ref="G27:I27"/>
    <mergeCell ref="A28:D28"/>
    <mergeCell ref="B15:D15"/>
    <mergeCell ref="B16:D16"/>
    <mergeCell ref="B17:D17"/>
    <mergeCell ref="B18:D18"/>
    <mergeCell ref="B19:D19"/>
    <mergeCell ref="A29:D29"/>
    <mergeCell ref="A30:D30"/>
    <mergeCell ref="A31:D31"/>
    <mergeCell ref="A1:E1"/>
    <mergeCell ref="A8:E8"/>
    <mergeCell ref="G29:H29"/>
    <mergeCell ref="G30:H30"/>
    <mergeCell ref="G31:H31"/>
    <mergeCell ref="G28:H28"/>
    <mergeCell ref="B20:D20"/>
    <mergeCell ref="B21:D21"/>
    <mergeCell ref="B22:D22"/>
    <mergeCell ref="B23:D23"/>
    <mergeCell ref="B24:D24"/>
    <mergeCell ref="B10:D10"/>
    <mergeCell ref="B11:D11"/>
    <mergeCell ref="B12:D12"/>
    <mergeCell ref="B13:D13"/>
    <mergeCell ref="B14:D14"/>
    <mergeCell ref="A35:B35"/>
    <mergeCell ref="A36:B36"/>
    <mergeCell ref="A37:B37"/>
    <mergeCell ref="A38:B38"/>
    <mergeCell ref="A39:B39"/>
    <mergeCell ref="A48:B48"/>
    <mergeCell ref="C48:I48"/>
    <mergeCell ref="A40:B40"/>
    <mergeCell ref="A41:B41"/>
    <mergeCell ref="A42:B42"/>
    <mergeCell ref="A45:B45"/>
    <mergeCell ref="C45:I4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E50"/>
  <sheetViews>
    <sheetView zoomScaleNormal="100" workbookViewId="0">
      <selection activeCell="B3" sqref="B3"/>
    </sheetView>
  </sheetViews>
  <sheetFormatPr defaultColWidth="7.109375" defaultRowHeight="12.75"/>
  <cols>
    <col min="1" max="1" width="5.6640625" style="148" customWidth="1"/>
    <col min="2" max="2" width="17.6640625" style="145" customWidth="1"/>
    <col min="3" max="3" width="18.5546875" style="148" customWidth="1"/>
    <col min="4" max="4" width="23.77734375" style="148" customWidth="1"/>
    <col min="5" max="5" width="68.21875" style="148" customWidth="1"/>
    <col min="6" max="12" width="7.109375" style="148" customWidth="1"/>
    <col min="13" max="13" width="20.109375" style="148" customWidth="1"/>
    <col min="14" max="16384" width="7.109375" style="148"/>
  </cols>
  <sheetData>
    <row r="1" spans="2:5" ht="20.25" customHeight="1">
      <c r="B1" s="147" t="str">
        <f>'Driver Summary Sheet'!A1</f>
        <v>TESTID</v>
      </c>
      <c r="D1" s="147"/>
    </row>
    <row r="2" spans="2:5">
      <c r="B2" s="149" t="str">
        <f>'Driver Summary Sheet'!B1</f>
        <v>Year Make Model</v>
      </c>
      <c r="D2" s="149"/>
    </row>
    <row r="3" spans="2:5" ht="13.5" thickBot="1"/>
    <row r="4" spans="2:5" s="151" customFormat="1" ht="29.25" customHeight="1" thickBot="1">
      <c r="B4" s="168" t="s">
        <v>86</v>
      </c>
      <c r="C4" s="164" t="s">
        <v>75</v>
      </c>
      <c r="D4" s="164" t="s">
        <v>76</v>
      </c>
      <c r="E4" s="150" t="s">
        <v>77</v>
      </c>
    </row>
    <row r="5" spans="2:5" s="154" customFormat="1" ht="43.5" customHeight="1">
      <c r="B5" s="165"/>
      <c r="C5" s="152"/>
      <c r="D5" s="152"/>
      <c r="E5" s="153"/>
    </row>
    <row r="6" spans="2:5" s="154" customFormat="1" ht="43.5" customHeight="1">
      <c r="B6" s="166"/>
      <c r="C6" s="155"/>
      <c r="D6" s="155"/>
      <c r="E6" s="156"/>
    </row>
    <row r="7" spans="2:5" s="154" customFormat="1" ht="43.5" customHeight="1">
      <c r="B7" s="166"/>
      <c r="C7" s="155"/>
      <c r="D7" s="155"/>
      <c r="E7" s="156"/>
    </row>
    <row r="8" spans="2:5" s="154" customFormat="1" ht="43.5" customHeight="1">
      <c r="B8" s="166"/>
      <c r="C8" s="155"/>
      <c r="D8" s="155"/>
      <c r="E8" s="156"/>
    </row>
    <row r="9" spans="2:5" s="154" customFormat="1" ht="43.5" customHeight="1">
      <c r="B9" s="166"/>
      <c r="C9" s="155"/>
      <c r="D9" s="155"/>
      <c r="E9" s="156"/>
    </row>
    <row r="10" spans="2:5" s="154" customFormat="1" ht="43.5" customHeight="1">
      <c r="B10" s="166"/>
      <c r="C10" s="155"/>
      <c r="D10" s="155"/>
      <c r="E10" s="156"/>
    </row>
    <row r="11" spans="2:5" s="154" customFormat="1" ht="43.5" customHeight="1">
      <c r="B11" s="166"/>
      <c r="C11" s="155"/>
      <c r="D11" s="155"/>
      <c r="E11" s="156"/>
    </row>
    <row r="12" spans="2:5" s="154" customFormat="1" ht="43.5" customHeight="1">
      <c r="B12" s="166"/>
      <c r="C12" s="155"/>
      <c r="D12" s="155"/>
      <c r="E12" s="156"/>
    </row>
    <row r="13" spans="2:5" s="154" customFormat="1" ht="43.5" customHeight="1">
      <c r="B13" s="166"/>
      <c r="C13" s="155"/>
      <c r="D13" s="155"/>
      <c r="E13" s="156"/>
    </row>
    <row r="14" spans="2:5" s="154" customFormat="1" ht="43.5" customHeight="1">
      <c r="B14" s="166"/>
      <c r="C14" s="155"/>
      <c r="D14" s="155"/>
      <c r="E14" s="156"/>
    </row>
    <row r="15" spans="2:5" s="154" customFormat="1" ht="43.5" customHeight="1">
      <c r="B15" s="166"/>
      <c r="C15" s="155"/>
      <c r="D15" s="155"/>
      <c r="E15" s="156"/>
    </row>
    <row r="16" spans="2:5" s="154" customFormat="1" ht="43.5" customHeight="1">
      <c r="B16" s="166"/>
      <c r="C16" s="155"/>
      <c r="D16" s="155"/>
      <c r="E16" s="156"/>
    </row>
    <row r="17" spans="2:5" s="154" customFormat="1" ht="43.5" customHeight="1">
      <c r="B17" s="166"/>
      <c r="C17" s="155"/>
      <c r="D17" s="155"/>
      <c r="E17" s="156"/>
    </row>
    <row r="18" spans="2:5" s="154" customFormat="1" ht="43.5" customHeight="1">
      <c r="B18" s="166"/>
      <c r="C18" s="155"/>
      <c r="D18" s="155"/>
      <c r="E18" s="156"/>
    </row>
    <row r="19" spans="2:5" s="154" customFormat="1" ht="43.5" customHeight="1">
      <c r="B19" s="166"/>
      <c r="C19" s="155"/>
      <c r="D19" s="155"/>
      <c r="E19" s="156"/>
    </row>
    <row r="20" spans="2:5" s="154" customFormat="1" ht="43.5" customHeight="1">
      <c r="B20" s="166"/>
      <c r="C20" s="155"/>
      <c r="D20" s="155"/>
      <c r="E20" s="156"/>
    </row>
    <row r="21" spans="2:5" s="154" customFormat="1" ht="43.5" customHeight="1">
      <c r="B21" s="166"/>
      <c r="C21" s="155"/>
      <c r="D21" s="155"/>
      <c r="E21" s="156"/>
    </row>
    <row r="22" spans="2:5" s="154" customFormat="1" ht="43.5" customHeight="1">
      <c r="B22" s="166"/>
      <c r="C22" s="155"/>
      <c r="D22" s="155"/>
      <c r="E22" s="156"/>
    </row>
    <row r="23" spans="2:5" s="154" customFormat="1" ht="43.5" customHeight="1">
      <c r="B23" s="166"/>
      <c r="C23" s="155"/>
      <c r="D23" s="155"/>
      <c r="E23" s="156"/>
    </row>
    <row r="24" spans="2:5" s="154" customFormat="1" ht="43.5" customHeight="1">
      <c r="B24" s="166"/>
      <c r="C24" s="155"/>
      <c r="D24" s="155"/>
      <c r="E24" s="156"/>
    </row>
    <row r="25" spans="2:5" s="154" customFormat="1" ht="43.5" customHeight="1" thickBot="1">
      <c r="B25" s="167"/>
      <c r="C25" s="157"/>
      <c r="D25" s="157"/>
      <c r="E25" s="158"/>
    </row>
    <row r="26" spans="2:5" s="154" customFormat="1" ht="18.75" customHeight="1">
      <c r="B26" s="163"/>
    </row>
    <row r="27" spans="2:5" s="154" customFormat="1" ht="18.75" customHeight="1">
      <c r="B27" s="163"/>
    </row>
    <row r="28" spans="2:5" s="154" customFormat="1" ht="18.75" customHeight="1">
      <c r="B28" s="163"/>
    </row>
    <row r="29" spans="2:5" s="154" customFormat="1" ht="18.75" customHeight="1">
      <c r="B29" s="163"/>
    </row>
    <row r="30" spans="2:5" s="154" customFormat="1" ht="18.75" customHeight="1">
      <c r="B30" s="163"/>
    </row>
    <row r="31" spans="2:5" s="154" customFormat="1" ht="18.75" customHeight="1">
      <c r="B31" s="163"/>
    </row>
    <row r="32" spans="2:5" s="154" customFormat="1" ht="18.75" customHeight="1">
      <c r="B32" s="163"/>
    </row>
    <row r="33" spans="2:2" s="154" customFormat="1" ht="18.75" customHeight="1">
      <c r="B33" s="163"/>
    </row>
    <row r="34" spans="2:2" s="154" customFormat="1" ht="18.75" customHeight="1">
      <c r="B34" s="163"/>
    </row>
    <row r="35" spans="2:2" s="154" customFormat="1" ht="18.75" customHeight="1">
      <c r="B35" s="163"/>
    </row>
    <row r="36" spans="2:2" s="154" customFormat="1" ht="18.75" customHeight="1">
      <c r="B36" s="163"/>
    </row>
    <row r="37" spans="2:2" s="154" customFormat="1" ht="18.75" customHeight="1">
      <c r="B37" s="163"/>
    </row>
    <row r="38" spans="2:2" s="154" customFormat="1" ht="18.75" customHeight="1">
      <c r="B38" s="163"/>
    </row>
    <row r="39" spans="2:2" s="154" customFormat="1" ht="18.75" customHeight="1">
      <c r="B39" s="163"/>
    </row>
    <row r="40" spans="2:2" s="154" customFormat="1" ht="18.75" customHeight="1">
      <c r="B40" s="163"/>
    </row>
    <row r="41" spans="2:2" s="154" customFormat="1" ht="18.75" customHeight="1">
      <c r="B41" s="163"/>
    </row>
    <row r="42" spans="2:2" s="154" customFormat="1" ht="18.75" customHeight="1">
      <c r="B42" s="163"/>
    </row>
    <row r="43" spans="2:2" s="154" customFormat="1" ht="18.75" customHeight="1">
      <c r="B43" s="163"/>
    </row>
    <row r="44" spans="2:2" s="154" customFormat="1" ht="18.75" customHeight="1">
      <c r="B44" s="163"/>
    </row>
    <row r="45" spans="2:2" s="154" customFormat="1" ht="18.75" customHeight="1">
      <c r="B45" s="163"/>
    </row>
    <row r="46" spans="2:2" s="154" customFormat="1" ht="18.75" customHeight="1">
      <c r="B46" s="163"/>
    </row>
    <row r="47" spans="2:2" s="154" customFormat="1" ht="18.75" customHeight="1">
      <c r="B47" s="163"/>
    </row>
    <row r="48" spans="2:2" s="154" customFormat="1" ht="18.75" customHeight="1">
      <c r="B48" s="163"/>
    </row>
    <row r="49" spans="2:2" s="154" customFormat="1" ht="18.75" customHeight="1">
      <c r="B49" s="163"/>
    </row>
    <row r="50" spans="2:2" s="154" customFormat="1" ht="18.75" customHeight="1">
      <c r="B50" s="163"/>
    </row>
  </sheetData>
  <phoneticPr fontId="13" type="noConversion"/>
  <dataValidations xWindow="140" yWindow="279" count="3">
    <dataValidation type="list" allowBlank="1" showInputMessage="1" showErrorMessage="1" sqref="C5:C25">
      <formula1>Channel_locations</formula1>
    </dataValidation>
    <dataValidation type="list" allowBlank="1" showInputMessage="1" showErrorMessage="1" sqref="D5:D25">
      <formula1>Channel_measure</formula1>
    </dataValidation>
    <dataValidation type="list" allowBlank="1" showInputMessage="1" showErrorMessage="1" sqref="B5:B25">
      <formula1>Dummy_position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C17"/>
  <sheetViews>
    <sheetView workbookViewId="0">
      <selection activeCell="B6" sqref="B6"/>
    </sheetView>
  </sheetViews>
  <sheetFormatPr defaultColWidth="7.109375" defaultRowHeight="12.75"/>
  <cols>
    <col min="1" max="1" width="14.88671875" style="161" customWidth="1"/>
    <col min="2" max="2" width="21.21875" style="161" customWidth="1"/>
    <col min="3" max="3" width="19.6640625" style="161" customWidth="1"/>
    <col min="4" max="16384" width="7.109375" style="161"/>
  </cols>
  <sheetData>
    <row r="2" spans="1:3" s="159" customFormat="1">
      <c r="A2" s="159" t="s">
        <v>86</v>
      </c>
      <c r="B2" s="159" t="s">
        <v>78</v>
      </c>
      <c r="C2" s="159" t="s">
        <v>79</v>
      </c>
    </row>
    <row r="3" spans="1:3">
      <c r="A3" s="162" t="s">
        <v>40</v>
      </c>
      <c r="B3" s="160" t="s">
        <v>4</v>
      </c>
      <c r="C3" s="162" t="s">
        <v>83</v>
      </c>
    </row>
    <row r="4" spans="1:3">
      <c r="A4" s="162" t="s">
        <v>87</v>
      </c>
      <c r="B4" s="160" t="s">
        <v>8</v>
      </c>
      <c r="C4" s="162" t="s">
        <v>84</v>
      </c>
    </row>
    <row r="5" spans="1:3">
      <c r="B5" s="160" t="s">
        <v>21</v>
      </c>
      <c r="C5" s="162" t="s">
        <v>85</v>
      </c>
    </row>
    <row r="6" spans="1:3">
      <c r="B6" s="160" t="s">
        <v>100</v>
      </c>
      <c r="C6" s="162" t="s">
        <v>97</v>
      </c>
    </row>
    <row r="7" spans="1:3">
      <c r="B7" s="162" t="s">
        <v>101</v>
      </c>
      <c r="C7" s="162" t="s">
        <v>98</v>
      </c>
    </row>
    <row r="8" spans="1:3">
      <c r="B8" s="162" t="s">
        <v>102</v>
      </c>
      <c r="C8" s="162" t="s">
        <v>99</v>
      </c>
    </row>
    <row r="9" spans="1:3">
      <c r="B9" s="160" t="s">
        <v>88</v>
      </c>
      <c r="C9" s="162" t="s">
        <v>80</v>
      </c>
    </row>
    <row r="10" spans="1:3">
      <c r="B10" s="160" t="s">
        <v>89</v>
      </c>
      <c r="C10" s="162" t="s">
        <v>82</v>
      </c>
    </row>
    <row r="11" spans="1:3">
      <c r="B11" s="160" t="s">
        <v>90</v>
      </c>
      <c r="C11" s="162" t="s">
        <v>96</v>
      </c>
    </row>
    <row r="12" spans="1:3">
      <c r="B12" s="160" t="s">
        <v>91</v>
      </c>
      <c r="C12" s="162" t="s">
        <v>81</v>
      </c>
    </row>
    <row r="13" spans="1:3">
      <c r="B13" s="160" t="s">
        <v>92</v>
      </c>
    </row>
    <row r="14" spans="1:3">
      <c r="B14" s="160" t="s">
        <v>20</v>
      </c>
    </row>
    <row r="15" spans="1:3">
      <c r="B15" s="160" t="s">
        <v>93</v>
      </c>
    </row>
    <row r="16" spans="1:3">
      <c r="B16" s="160" t="s">
        <v>94</v>
      </c>
    </row>
    <row r="17" spans="2:2">
      <c r="B17" s="160" t="s">
        <v>95</v>
      </c>
    </row>
  </sheetData>
  <phoneticPr fontId="1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245</vt:i4>
      </vt:variant>
    </vt:vector>
  </HeadingPairs>
  <TitlesOfParts>
    <vt:vector size="252" baseType="lpstr">
      <vt:lpstr>Ratings Chart Data</vt:lpstr>
      <vt:lpstr>Driver Summary Sheet</vt:lpstr>
      <vt:lpstr>Passenger Summary Sheet</vt:lpstr>
      <vt:lpstr>Export From DIAdem</vt:lpstr>
      <vt:lpstr>Channel Comments</vt:lpstr>
      <vt:lpstr>Channel Comment Data Sheet</vt:lpstr>
      <vt:lpstr>Rating Chart</vt:lpstr>
      <vt:lpstr>BarrierMake</vt:lpstr>
      <vt:lpstr>BarrierSerial</vt:lpstr>
      <vt:lpstr>Channel_locations</vt:lpstr>
      <vt:lpstr>Channel_measure</vt:lpstr>
      <vt:lpstr>d_AvgRib_d</vt:lpstr>
      <vt:lpstr>d_Femur_APM</vt:lpstr>
      <vt:lpstr>d_Femur_APM_t1</vt:lpstr>
      <vt:lpstr>d_Femur_APM_t2</vt:lpstr>
      <vt:lpstr>d_Femur_LMF</vt:lpstr>
      <vt:lpstr>d_Femur_LMF_t1</vt:lpstr>
      <vt:lpstr>d_Femur_LMF_t2</vt:lpstr>
      <vt:lpstr>d_Femur_LMM</vt:lpstr>
      <vt:lpstr>d_Femur_LMM_t1</vt:lpstr>
      <vt:lpstr>d_Femur_LMM_t2</vt:lpstr>
      <vt:lpstr>d_Head_RG</vt:lpstr>
      <vt:lpstr>d_Head_RG_t1</vt:lpstr>
      <vt:lpstr>d_Head_RG3ms</vt:lpstr>
      <vt:lpstr>d_Head_RG3ms_t1</vt:lpstr>
      <vt:lpstr>d_Head_RG3ms_t2</vt:lpstr>
      <vt:lpstr>d_HIC15</vt:lpstr>
      <vt:lpstr>d_HIC15_t1</vt:lpstr>
      <vt:lpstr>d_HIC15_t2</vt:lpstr>
      <vt:lpstr>d_Neck_APF</vt:lpstr>
      <vt:lpstr>d_Neck_APF_t1</vt:lpstr>
      <vt:lpstr>d_Neck_Comp</vt:lpstr>
      <vt:lpstr>d_Neck_Comp_t1</vt:lpstr>
      <vt:lpstr>d_Neck_LMF</vt:lpstr>
      <vt:lpstr>d_Neck_LMF_t1</vt:lpstr>
      <vt:lpstr>d_Neck_Tens</vt:lpstr>
      <vt:lpstr>d_Neck_Tens_t1</vt:lpstr>
      <vt:lpstr>d_Neck_XM</vt:lpstr>
      <vt:lpstr>d_Neck_XM_t1</vt:lpstr>
      <vt:lpstr>d_Neck_ZM</vt:lpstr>
      <vt:lpstr>d_Neck_ZM_t1</vt:lpstr>
      <vt:lpstr>d_Pelvis_AF</vt:lpstr>
      <vt:lpstr>d_Pelvis_AF_t1</vt:lpstr>
      <vt:lpstr>d_Pelvis_CF</vt:lpstr>
      <vt:lpstr>d_Pelvis_CF_t1</vt:lpstr>
      <vt:lpstr>d_Pelvis_IF</vt:lpstr>
      <vt:lpstr>d_Pelvis_IF_t1</vt:lpstr>
      <vt:lpstr>d_Pelvis_YG</vt:lpstr>
      <vt:lpstr>d_Pelvis_YG_t1</vt:lpstr>
      <vt:lpstr>d_Rib1_d</vt:lpstr>
      <vt:lpstr>d_Rib1_d_t1</vt:lpstr>
      <vt:lpstr>d_Rib1_dr</vt:lpstr>
      <vt:lpstr>d_Rib1_dr_t1</vt:lpstr>
      <vt:lpstr>d_Rib1_VC</vt:lpstr>
      <vt:lpstr>d_Rib1_VC_t1</vt:lpstr>
      <vt:lpstr>d_Rib2_d</vt:lpstr>
      <vt:lpstr>d_Rib2_d_t1</vt:lpstr>
      <vt:lpstr>d_Rib2_dr</vt:lpstr>
      <vt:lpstr>d_Rib2_dr_t1</vt:lpstr>
      <vt:lpstr>d_Rib2_VC</vt:lpstr>
      <vt:lpstr>d_Rib2_VC_t1</vt:lpstr>
      <vt:lpstr>d_Rib3_d</vt:lpstr>
      <vt:lpstr>d_Rib3_d_t1</vt:lpstr>
      <vt:lpstr>d_Rib3_dr</vt:lpstr>
      <vt:lpstr>d_Rib3_dr_t1</vt:lpstr>
      <vt:lpstr>d_Rib3_VC</vt:lpstr>
      <vt:lpstr>d_Rib3_VC_t1</vt:lpstr>
      <vt:lpstr>d_Rib4_d</vt:lpstr>
      <vt:lpstr>d_Rib4_d_t1</vt:lpstr>
      <vt:lpstr>d_Rib4_dr</vt:lpstr>
      <vt:lpstr>d_Rib4_dr_t1</vt:lpstr>
      <vt:lpstr>d_Rib4_VC</vt:lpstr>
      <vt:lpstr>d_Rib4_VC_t1</vt:lpstr>
      <vt:lpstr>d_Rib5_d</vt:lpstr>
      <vt:lpstr>d_Rib5_d_t1</vt:lpstr>
      <vt:lpstr>d_Rib5_dr</vt:lpstr>
      <vt:lpstr>d_Rib5_dr_t1</vt:lpstr>
      <vt:lpstr>d_Rib5_VC</vt:lpstr>
      <vt:lpstr>d_Rib5_VC_t1</vt:lpstr>
      <vt:lpstr>d_Shldr_d</vt:lpstr>
      <vt:lpstr>d_Shldr_d_t1</vt:lpstr>
      <vt:lpstr>d_Shldr_F</vt:lpstr>
      <vt:lpstr>d_Shldr_F_t1</vt:lpstr>
      <vt:lpstr>DoorOpening</vt:lpstr>
      <vt:lpstr>DriverChannelComments</vt:lpstr>
      <vt:lpstr>DriverEvent_1</vt:lpstr>
      <vt:lpstr>DriverEvent_10</vt:lpstr>
      <vt:lpstr>DriverEvent_11</vt:lpstr>
      <vt:lpstr>DriverEvent_12</vt:lpstr>
      <vt:lpstr>DriverEvent_13</vt:lpstr>
      <vt:lpstr>DriverEvent_14</vt:lpstr>
      <vt:lpstr>DriverEvent_15</vt:lpstr>
      <vt:lpstr>DriverEvent_2</vt:lpstr>
      <vt:lpstr>DriverEvent_3</vt:lpstr>
      <vt:lpstr>DriverEvent_4</vt:lpstr>
      <vt:lpstr>DriverEvent_5</vt:lpstr>
      <vt:lpstr>DriverEvent_6</vt:lpstr>
      <vt:lpstr>DriverEvent_7</vt:lpstr>
      <vt:lpstr>DriverEvent_8</vt:lpstr>
      <vt:lpstr>DriverEvent_9</vt:lpstr>
      <vt:lpstr>DriverEventTime_1</vt:lpstr>
      <vt:lpstr>DriverEventTime_10</vt:lpstr>
      <vt:lpstr>DriverEventTime_11</vt:lpstr>
      <vt:lpstr>DriverEventTime_12</vt:lpstr>
      <vt:lpstr>DriverEventTime_13</vt:lpstr>
      <vt:lpstr>DriverEventTime_14</vt:lpstr>
      <vt:lpstr>DriverEventTime_15</vt:lpstr>
      <vt:lpstr>DriverEventTime_2</vt:lpstr>
      <vt:lpstr>DriverEventTime_3</vt:lpstr>
      <vt:lpstr>DriverEventTime_4</vt:lpstr>
      <vt:lpstr>DriverEventTime_5</vt:lpstr>
      <vt:lpstr>DriverEventTime_6</vt:lpstr>
      <vt:lpstr>DriverEventTime_7</vt:lpstr>
      <vt:lpstr>DriverEventTime_8</vt:lpstr>
      <vt:lpstr>DriverEventTime_9</vt:lpstr>
      <vt:lpstr>DriverHeadProtection</vt:lpstr>
      <vt:lpstr>DriverPelvisLoadingTime</vt:lpstr>
      <vt:lpstr>DriverShoulderBottoming</vt:lpstr>
      <vt:lpstr>DriverShoulderLoadingTime</vt:lpstr>
      <vt:lpstr>DriverTorsoLoadingTime</vt:lpstr>
      <vt:lpstr>Dummy_position</vt:lpstr>
      <vt:lpstr>ElectricShock</vt:lpstr>
      <vt:lpstr>folder_name</vt:lpstr>
      <vt:lpstr>FolderName</vt:lpstr>
      <vt:lpstr>FuelLeak</vt:lpstr>
      <vt:lpstr>ImpactHorizontal</vt:lpstr>
      <vt:lpstr>ImpactVelocity</vt:lpstr>
      <vt:lpstr>ImpactVertical</vt:lpstr>
      <vt:lpstr>mdb_ActualSpeed</vt:lpstr>
      <vt:lpstr>mdb_Long_dv</vt:lpstr>
      <vt:lpstr>mdb_Long_dv_t1</vt:lpstr>
      <vt:lpstr>p_AvgRib_d</vt:lpstr>
      <vt:lpstr>p_Femur_APM</vt:lpstr>
      <vt:lpstr>p_Femur_APM_t1</vt:lpstr>
      <vt:lpstr>p_Femur_APM_t2</vt:lpstr>
      <vt:lpstr>p_Femur_LMF</vt:lpstr>
      <vt:lpstr>p_Femur_LMF_t1</vt:lpstr>
      <vt:lpstr>p_Femur_LMF_t2</vt:lpstr>
      <vt:lpstr>p_Femur_LMM</vt:lpstr>
      <vt:lpstr>p_Femur_LMM_t1</vt:lpstr>
      <vt:lpstr>p_Femur_LMM_t2</vt:lpstr>
      <vt:lpstr>p_Head_RG</vt:lpstr>
      <vt:lpstr>p_Head_RG_t1</vt:lpstr>
      <vt:lpstr>p_Head_RG3ms</vt:lpstr>
      <vt:lpstr>p_Head_RG3ms_t1</vt:lpstr>
      <vt:lpstr>p_Head_RG3ms_t2</vt:lpstr>
      <vt:lpstr>p_Heap_RG</vt:lpstr>
      <vt:lpstr>p_Heap_RG3ms</vt:lpstr>
      <vt:lpstr>p_HIC15</vt:lpstr>
      <vt:lpstr>p_HIC15_t1</vt:lpstr>
      <vt:lpstr>p_HIC15_t2</vt:lpstr>
      <vt:lpstr>p_Neck_APF</vt:lpstr>
      <vt:lpstr>p_Neck_APF_t1</vt:lpstr>
      <vt:lpstr>p_Neck_Comp</vt:lpstr>
      <vt:lpstr>p_Neck_Comp_t1</vt:lpstr>
      <vt:lpstr>p_Neck_LMF</vt:lpstr>
      <vt:lpstr>p_Neck_LMF_t1</vt:lpstr>
      <vt:lpstr>p_Neck_Tens</vt:lpstr>
      <vt:lpstr>p_Neck_Tens_t1</vt:lpstr>
      <vt:lpstr>p_Neck_XM</vt:lpstr>
      <vt:lpstr>p_Neck_XM_t1</vt:lpstr>
      <vt:lpstr>p_Neck_ZM</vt:lpstr>
      <vt:lpstr>p_Neck_ZM_t1</vt:lpstr>
      <vt:lpstr>p_Pelvis_AF</vt:lpstr>
      <vt:lpstr>p_Pelvis_AF_t1</vt:lpstr>
      <vt:lpstr>p_Pelvis_CF</vt:lpstr>
      <vt:lpstr>p_Pelvis_CF_t1</vt:lpstr>
      <vt:lpstr>p_Pelvis_IF</vt:lpstr>
      <vt:lpstr>p_Pelvis_IF_t1</vt:lpstr>
      <vt:lpstr>p_Pelvis_YG</vt:lpstr>
      <vt:lpstr>p_Pelvis_YG_t1</vt:lpstr>
      <vt:lpstr>p_Rib1_d</vt:lpstr>
      <vt:lpstr>p_Rib1_d_t1</vt:lpstr>
      <vt:lpstr>p_Rib1_dr</vt:lpstr>
      <vt:lpstr>p_Rib1_dr_t1</vt:lpstr>
      <vt:lpstr>p_Rib1_VC</vt:lpstr>
      <vt:lpstr>p_Rib1_VC_t1</vt:lpstr>
      <vt:lpstr>p_Rib2_d</vt:lpstr>
      <vt:lpstr>p_Rib2_d_t1</vt:lpstr>
      <vt:lpstr>p_Rib2_dr</vt:lpstr>
      <vt:lpstr>p_Rib2_dr_t1</vt:lpstr>
      <vt:lpstr>p_Rib2_VC</vt:lpstr>
      <vt:lpstr>p_Rib2_VC_t1</vt:lpstr>
      <vt:lpstr>p_Rib3_d</vt:lpstr>
      <vt:lpstr>p_Rib3_d_t1</vt:lpstr>
      <vt:lpstr>p_Rib3_dr</vt:lpstr>
      <vt:lpstr>p_Rib3_dr_t1</vt:lpstr>
      <vt:lpstr>p_Rib3_VC</vt:lpstr>
      <vt:lpstr>p_Rib3_VC_t1</vt:lpstr>
      <vt:lpstr>p_Rib4_d</vt:lpstr>
      <vt:lpstr>p_Rib4_d_t1</vt:lpstr>
      <vt:lpstr>p_Rib4_dr</vt:lpstr>
      <vt:lpstr>p_Rib4_dr_t1</vt:lpstr>
      <vt:lpstr>p_Rib4_VC</vt:lpstr>
      <vt:lpstr>p_Rib4_VC_t1</vt:lpstr>
      <vt:lpstr>p_Rib5_d</vt:lpstr>
      <vt:lpstr>p_Rib5_d_t1</vt:lpstr>
      <vt:lpstr>p_Rib5_dr</vt:lpstr>
      <vt:lpstr>p_Rib5_dr_t1</vt:lpstr>
      <vt:lpstr>p_Rib5_VC</vt:lpstr>
      <vt:lpstr>p_Rib5_VC_t1</vt:lpstr>
      <vt:lpstr>p_Shldr_d</vt:lpstr>
      <vt:lpstr>p_Shldr_d_t1</vt:lpstr>
      <vt:lpstr>p_Shldr_F</vt:lpstr>
      <vt:lpstr>p_Shldr_F_t1</vt:lpstr>
      <vt:lpstr>PassengerChannelComments</vt:lpstr>
      <vt:lpstr>PassengerEvent_1</vt:lpstr>
      <vt:lpstr>PassengerEvent_10</vt:lpstr>
      <vt:lpstr>PassengerEvent_11</vt:lpstr>
      <vt:lpstr>PassengerEvent_12</vt:lpstr>
      <vt:lpstr>PassengerEvent_13</vt:lpstr>
      <vt:lpstr>PassengerEvent_14</vt:lpstr>
      <vt:lpstr>PassengerEvent_15</vt:lpstr>
      <vt:lpstr>PassengerEvent_2</vt:lpstr>
      <vt:lpstr>PassengerEvent_3</vt:lpstr>
      <vt:lpstr>PassengerEvent_4</vt:lpstr>
      <vt:lpstr>PassengerEvent_5</vt:lpstr>
      <vt:lpstr>PassengerEvent_6</vt:lpstr>
      <vt:lpstr>PassengerEvent_7</vt:lpstr>
      <vt:lpstr>PassengerEvent_8</vt:lpstr>
      <vt:lpstr>PassengerEvent_9</vt:lpstr>
      <vt:lpstr>PassengerEventTime_1</vt:lpstr>
      <vt:lpstr>PassengerEventTime_10</vt:lpstr>
      <vt:lpstr>PassengerEventTime_11</vt:lpstr>
      <vt:lpstr>PassengerEventTime_12</vt:lpstr>
      <vt:lpstr>PassengerEventTime_13</vt:lpstr>
      <vt:lpstr>PassengerEventTime_14</vt:lpstr>
      <vt:lpstr>PassengerEventTime_15</vt:lpstr>
      <vt:lpstr>PassengerEventTime_2</vt:lpstr>
      <vt:lpstr>PassengerEventTime_3</vt:lpstr>
      <vt:lpstr>PassengerEventTime_4</vt:lpstr>
      <vt:lpstr>PassengerEventTime_5</vt:lpstr>
      <vt:lpstr>PassengerEventTime_6</vt:lpstr>
      <vt:lpstr>PassengerEventTime_7</vt:lpstr>
      <vt:lpstr>PassengerEventTime_8</vt:lpstr>
      <vt:lpstr>PassengerEventTime_9</vt:lpstr>
      <vt:lpstr>PassengerHeadProtection</vt:lpstr>
      <vt:lpstr>PassengerPelvisLoadingTime</vt:lpstr>
      <vt:lpstr>PassengerShoulderBottoming</vt:lpstr>
      <vt:lpstr>PassengerShoulderLoadingTime</vt:lpstr>
      <vt:lpstr>PassengerTorsoLoadingTime</vt:lpstr>
      <vt:lpstr>'Driver Summary Sheet'!Print_Area</vt:lpstr>
      <vt:lpstr>'Passenger Summary Sheet'!Print_Area</vt:lpstr>
      <vt:lpstr>StructuralFailure</vt:lpstr>
      <vt:lpstr>TestWeightLF</vt:lpstr>
      <vt:lpstr>TestWeightLR</vt:lpstr>
      <vt:lpstr>TestWeightRF</vt:lpstr>
      <vt:lpstr>TestWeightRR</vt:lpstr>
      <vt:lpstr>v_RFFloor_dv</vt:lpstr>
      <vt:lpstr>v_RFFloor_dv_t1</vt:lpstr>
      <vt:lpstr>v_RRFloor_dv</vt:lpstr>
      <vt:lpstr>v_RRFloor_dv_t1</vt:lpstr>
    </vt:vector>
  </TitlesOfParts>
  <Company>Insurance Institute for Highway Safety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Arbelaez</dc:creator>
  <cp:lastModifiedBy>Drew Brethwaite</cp:lastModifiedBy>
  <cp:lastPrinted>2010-11-17T17:54:49Z</cp:lastPrinted>
  <dcterms:created xsi:type="dcterms:W3CDTF">1998-03-05T16:23:11Z</dcterms:created>
  <dcterms:modified xsi:type="dcterms:W3CDTF">2016-08-10T14:56:12Z</dcterms:modified>
</cp:coreProperties>
</file>