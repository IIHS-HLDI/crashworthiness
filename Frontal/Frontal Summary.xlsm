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D:\diadem processing\crashworthiness\Frontal\"/>
    </mc:Choice>
  </mc:AlternateContent>
  <bookViews>
    <workbookView xWindow="390" yWindow="30" windowWidth="21270" windowHeight="14625" tabRatio="703"/>
  </bookViews>
  <sheets>
    <sheet name="Ratings Chart MO" sheetId="8" r:id="rId1"/>
    <sheet name="Ratings Chart SO" sheetId="7" r:id="rId2"/>
    <sheet name="Summary Sheet" sheetId="4" r:id="rId3"/>
    <sheet name="Ratings Chart Data" sheetId="6" state="hidden" r:id="rId4"/>
    <sheet name="Crash Analysis" sheetId="11" r:id="rId5"/>
    <sheet name="Film Analysis" sheetId="12" r:id="rId6"/>
  </sheets>
  <functionGroups builtInGroupCount="18"/>
  <definedNames>
    <definedName name="_HIC15">'Summary Sheet'!$D$7</definedName>
    <definedName name="_HIC36">'Summary Sheet'!$D$6</definedName>
    <definedName name="AIRBAG_BOTTOMING">'Crash Analysis'!$B$23</definedName>
    <definedName name="AIRBAG_BOTTOMING_MO">'Film Analysis'!$B$16</definedName>
    <definedName name="Airbag_contacts_face_t">'Crash Analysis'!$B$10</definedName>
    <definedName name="Airbag_contacts_face_t_MO">'Film Analysis'!$B$9</definedName>
    <definedName name="Airbag_fully_deployed_t">'Crash Analysis'!$B$11</definedName>
    <definedName name="Airbag_fully_deployed_t_MO">'Film Analysis'!$B$10</definedName>
    <definedName name="Airbag_interaction">'Crash Analysis'!$B$33</definedName>
    <definedName name="ARSX">'Summary Sheet'!$D$8</definedName>
    <definedName name="ARSX_t">'Summary Sheet'!$E$8</definedName>
    <definedName name="ARSY">'Summary Sheet'!$D$9</definedName>
    <definedName name="ARSY_t">'Summary Sheet'!$E$9</definedName>
    <definedName name="ARSZ">'Summary Sheet'!$D$10</definedName>
    <definedName name="ARSZ_t">'Summary Sheet'!$E$10</definedName>
    <definedName name="Belt_tensioner_deploy_t">'Crash Analysis'!$B$6</definedName>
    <definedName name="Belt_tensioner_deploy_t_MO">'Film Analysis'!$B$6</definedName>
    <definedName name="burn_risk">'Crash Analysis'!$B$42</definedName>
    <definedName name="Channel_Comments">'Crash Analysis'!$B$50</definedName>
    <definedName name="Channel_Comments_MO">'Film Analysis'!$B$28</definedName>
    <definedName name="Channel_locations">#REF!</definedName>
    <definedName name="Channel_measure">#REF!</definedName>
    <definedName name="ChestD">'Summary Sheet'!$D$22</definedName>
    <definedName name="ChestD_t">'Summary Sheet'!$E$22</definedName>
    <definedName name="CLRG">'Summary Sheet'!$D$59</definedName>
    <definedName name="CLRG_t">'Summary Sheet'!$E$59</definedName>
    <definedName name="CLXG">'Summary Sheet'!$D$60</definedName>
    <definedName name="CLXG_t">'Summary Sheet'!$E$60</definedName>
    <definedName name="CLYG">'Summary Sheet'!$D$61</definedName>
    <definedName name="CLYG_t">'Summary Sheet'!$E$61</definedName>
    <definedName name="CLZG">'Summary Sheet'!$D$62</definedName>
    <definedName name="CLZG_t">'Summary Sheet'!$E$62</definedName>
    <definedName name="Contact_1">'Crash Analysis'!#REF!</definedName>
    <definedName name="Contact_1_g">'Crash Analysis'!#REF!</definedName>
    <definedName name="Contact_1_severity">'Crash Analysis'!#REF!</definedName>
    <definedName name="Contact_1_t">'Crash Analysis'!#REF!</definedName>
    <definedName name="Contact_2">'Crash Analysis'!#REF!</definedName>
    <definedName name="Contact_2_g">'Crash Analysis'!#REF!</definedName>
    <definedName name="Contact_2_severity">'Crash Analysis'!#REF!</definedName>
    <definedName name="Contact_2_t">'Crash Analysis'!#REF!</definedName>
    <definedName name="CorridorOutput">'Summary Sheet'!$A$64</definedName>
    <definedName name="createDate">'Summary Sheet'!$F$2</definedName>
    <definedName name="Curtain_airbag_deploy_t">'Crash Analysis'!$B$8</definedName>
    <definedName name="Curtain_airbag_deploy_t_MO">'Film Analysis'!$B$12</definedName>
    <definedName name="Curtain_coverage">'Crash Analysis'!$B$37</definedName>
    <definedName name="Description_MO">'Film Analysis'!$B$30</definedName>
    <definedName name="door_opening">'Crash Analysis'!$B$45</definedName>
    <definedName name="Dummy_damage">'Crash Analysis'!$B$53</definedName>
    <definedName name="Dummy_damage_MO">'Film Analysis'!$B$29</definedName>
    <definedName name="excessive_forward_excursion">'Crash Analysis'!$B$41</definedName>
    <definedName name="excessive_head_lateral">'Crash Analysis'!$B$38</definedName>
    <definedName name="Excursion_mm">'Crash Analysis'!$B$30</definedName>
    <definedName name="Face_loads_frontAB_t">'Crash Analysis'!$B$12</definedName>
    <definedName name="Face_loads_frontAB_t_MO">'Film Analysis'!$B$11</definedName>
    <definedName name="FolderName">'Ratings Chart Data'!$B$36</definedName>
    <definedName name="Front_airbag_deploy_t">'Crash Analysis'!$B$7</definedName>
    <definedName name="Front_airbag_deploy_t_MO">'Film Analysis'!$B$7</definedName>
    <definedName name="Head_hard_contact_3ms">'Crash Analysis'!#REF!</definedName>
    <definedName name="Head_hard_contact_3ms_t1">'Crash Analysis'!#REF!</definedName>
    <definedName name="Head_hard_contact_3ms_t2">'Crash Analysis'!#REF!</definedName>
    <definedName name="Head_hard_contact_3ms2">'Crash Analysis'!#REF!</definedName>
    <definedName name="Head_hard_contact_3ms2_t1">'Crash Analysis'!#REF!</definedName>
    <definedName name="Head_hard_contact_3ms2_t2">'Crash Analysis'!#REF!</definedName>
    <definedName name="HEAD_OTHER_HARD_CONTACT">'Crash Analysis'!$B$24</definedName>
    <definedName name="HEAD_OTHER_HARD_CONTACT_MO">'Film Analysis'!$B$17</definedName>
    <definedName name="HeadRG">'Summary Sheet'!$D$4</definedName>
    <definedName name="HeadRG_t">'Summary Sheet'!$E$4</definedName>
    <definedName name="HeadRG3ms">'Summary Sheet'!$D$5</definedName>
    <definedName name="HeadRG3ms_t1">'Summary Sheet'!$E$5</definedName>
    <definedName name="HeadRG3ms_t2">'Summary Sheet'!$F$5</definedName>
    <definedName name="HIC15_t1">'Summary Sheet'!$E$7</definedName>
    <definedName name="HIC15_t2">'Summary Sheet'!$F$7</definedName>
    <definedName name="HIC36_t1">'Summary Sheet'!$E$6</definedName>
    <definedName name="HIC36_t2">'Summary Sheet'!$F$6</definedName>
    <definedName name="HN_INJURY_DOWNGRADE">'Crash Analysis'!$B$22</definedName>
    <definedName name="HN_INJURY_DOWNGRADE_MO">'Film Analysis'!$B$15</definedName>
    <definedName name="iihsTestId">'Summary Sheet'!$A$1</definedName>
    <definedName name="impact_speed">'Crash Analysis'!$B$2</definedName>
    <definedName name="impact_speed_MO">'Film Analysis'!$B$2</definedName>
    <definedName name="impactSpeed">'Summary Sheet'!$B$3</definedName>
    <definedName name="initial_spoolout_mm">'Crash Analysis'!$B$27</definedName>
    <definedName name="initial_spoolout_t">'Crash Analysis'!$C$27</definedName>
    <definedName name="late_or_no_airbag">'Crash Analysis'!$B$36</definedName>
    <definedName name="LateralNeckForce">'Summary Sheet'!$D$12</definedName>
    <definedName name="LateralNeckForce_t">'Summary Sheet'!$E$12</definedName>
    <definedName name="LeftFemurF">'Summary Sheet'!$D$25</definedName>
    <definedName name="LeftFemurF_t">'Summary Sheet'!$E$25</definedName>
    <definedName name="LeftFemurImpulse">'Summary Sheet'!$D$26</definedName>
    <definedName name="LeftFootAPG">'Summary Sheet'!$D$39</definedName>
    <definedName name="LeftFootAPG_t">'Summary Sheet'!$E$39</definedName>
    <definedName name="LeftFootISG">'Summary Sheet'!$D$40</definedName>
    <definedName name="LeftFootISG_t">'Summary Sheet'!$E$40</definedName>
    <definedName name="LeftFootRG">'Summary Sheet'!$D$41</definedName>
    <definedName name="LeftFootRG_t">'Summary Sheet'!$E$41</definedName>
    <definedName name="LeftKneeD">'Summary Sheet'!$D$29</definedName>
    <definedName name="LeftKneeD_t">'Summary Sheet'!$E$29</definedName>
    <definedName name="LeftKTHInjuryLocation">'Summary Sheet'!$D$28</definedName>
    <definedName name="LeftKTHRisk">'Summary Sheet'!$D$27</definedName>
    <definedName name="LeftLowerTibiaAPM">'Summary Sheet'!$D$35</definedName>
    <definedName name="LeftLowerTibiaAPM_t">'Summary Sheet'!$E$35</definedName>
    <definedName name="LeftLowerTibiaIndex">'Summary Sheet'!$D$38</definedName>
    <definedName name="LeftLowerTibiaIndex_t">'Summary Sheet'!$E$38</definedName>
    <definedName name="LeftLowerTibiaLMM">'Summary Sheet'!$D$34</definedName>
    <definedName name="LeftLowerTibiaLMM_t">'Summary Sheet'!$E$34</definedName>
    <definedName name="LeftLowerTibiaRM">'Summary Sheet'!$D$36</definedName>
    <definedName name="LeftLowerTibiaRM_t">'Summary Sheet'!$E$36</definedName>
    <definedName name="LeftLowerTibiaZF">'Summary Sheet'!$D$37</definedName>
    <definedName name="LeftLowerTibiaZF_t">'Summary Sheet'!$E$37</definedName>
    <definedName name="LeftUpperTibiaAPM">'Summary Sheet'!$D$31</definedName>
    <definedName name="LeftUpperTibiaAPM_t">'Summary Sheet'!$E$31</definedName>
    <definedName name="LeftUpperTibiaIndex">'Summary Sheet'!$D$33</definedName>
    <definedName name="LeftUpperTibiaIndex_t">'Summary Sheet'!$E$33</definedName>
    <definedName name="LeftUpperTibiaLMM">'Summary Sheet'!$D$30</definedName>
    <definedName name="LeftUpperTibiaLMM_t">'Summary Sheet'!$E$30</definedName>
    <definedName name="LeftUpperTibiaRM">'Summary Sheet'!$D$32</definedName>
    <definedName name="LeftUpperTibiaRM_t">'Summary Sheet'!$E$32</definedName>
    <definedName name="multiple_hard_contacts">'Crash Analysis'!$B$35</definedName>
    <definedName name="NeckAPShear">'Summary Sheet'!$D$11</definedName>
    <definedName name="NeckAPShear_t">'Summary Sheet'!$E$11</definedName>
    <definedName name="NeckCompression">'Summary Sheet'!$D$13</definedName>
    <definedName name="NeckCompression_t">'Summary Sheet'!$E$13</definedName>
    <definedName name="NeckExtension">'Summary Sheet'!$D$16</definedName>
    <definedName name="NeckExtension_t">'Summary Sheet'!$E$16</definedName>
    <definedName name="NeckFlexion">'Summary Sheet'!$D$15</definedName>
    <definedName name="NeckFlexion_t">'Summary Sheet'!$E$15</definedName>
    <definedName name="NeckTension">'Summary Sheet'!$D$14</definedName>
    <definedName name="NeckTension_t">'Summary Sheet'!$E$14</definedName>
    <definedName name="Net_spoolout_mm">'Crash Analysis'!$B$29</definedName>
    <definedName name="Net_spoolout_t">'Crash Analysis'!$C$29</definedName>
    <definedName name="Nij_CE">'Summary Sheet'!$D$19</definedName>
    <definedName name="Nij_CE_t">'Summary Sheet'!$E$19</definedName>
    <definedName name="Nij_CF">'Summary Sheet'!$D$20</definedName>
    <definedName name="Nij_CF_t">'Summary Sheet'!$E$20</definedName>
    <definedName name="Nij_TE">'Summary Sheet'!$D$17</definedName>
    <definedName name="Nij_TE_t">'Summary Sheet'!$E$17</definedName>
    <definedName name="Nij_TF">'Summary Sheet'!$D$18</definedName>
    <definedName name="Nij_TF_t">'Summary Sheet'!$E$18</definedName>
    <definedName name="no_torso_airbag">'Crash Analysis'!#REF!</definedName>
    <definedName name="Other_demerit">'Crash Analysis'!$B$46</definedName>
    <definedName name="Other_demerit_desc">'Crash Analysis'!$B$47</definedName>
    <definedName name="Other_event_1">'Crash Analysis'!$A$14</definedName>
    <definedName name="Other_event_1_MO">'Film Analysis'!$A$20</definedName>
    <definedName name="Other_event_1_t">'Crash Analysis'!$B$14</definedName>
    <definedName name="Other_event_1_t_MO">'Film Analysis'!$B$20</definedName>
    <definedName name="Other_event_2">'Crash Analysis'!$A$15</definedName>
    <definedName name="Other_event_2_MO">'Film Analysis'!$A$21</definedName>
    <definedName name="Other_event_2_t">'Crash Analysis'!$B$15</definedName>
    <definedName name="Other_event_2_t_MO">'Film Analysis'!$B$21</definedName>
    <definedName name="Other_event_3">'Crash Analysis'!$A$16</definedName>
    <definedName name="Other_event_3_MO">'Film Analysis'!$A$22</definedName>
    <definedName name="Other_event_3_t">'Crash Analysis'!$B$16</definedName>
    <definedName name="Other_event_3_t_MO">'Film Analysis'!$B$22</definedName>
    <definedName name="Other_event_4">'Crash Analysis'!$A$17</definedName>
    <definedName name="Other_event_4_MO">'Film Analysis'!$A$23</definedName>
    <definedName name="Other_event_4_t">'Crash Analysis'!$B$17</definedName>
    <definedName name="Other_event_4_t_MO">'Film Analysis'!$B$23</definedName>
    <definedName name="Other_event_5">'Crash Analysis'!$A$18</definedName>
    <definedName name="Other_event_5_MO">'Film Analysis'!$A$24</definedName>
    <definedName name="Other_event_5_t">'Crash Analysis'!$B$18</definedName>
    <definedName name="Other_event_5_t_MO">'Film Analysis'!$B$24</definedName>
    <definedName name="Other_event_6">'Crash Analysis'!$A$19</definedName>
    <definedName name="Other_event_6_MO">'Film Analysis'!$A$25</definedName>
    <definedName name="Other_event_6_t">'Crash Analysis'!$B$19</definedName>
    <definedName name="Other_event_6_t_MO">'Film Analysis'!$B$25</definedName>
    <definedName name="OTHER_HEAD_HARD_CONTACT">'Crash Analysis'!$B$24</definedName>
    <definedName name="overlap">'Crash Analysis'!$B$3</definedName>
    <definedName name="overlap_MO">'Film Analysis'!$B$3</definedName>
    <definedName name="Passenger_airbag_deploy_t_MO">'Film Analysis'!$B$8</definedName>
    <definedName name="_xlnm.Print_Area" localSheetId="2">'Summary Sheet'!$A$1:$F$66</definedName>
    <definedName name="Retraction_mm">'Crash Analysis'!$B$28</definedName>
    <definedName name="Retraction_t">'Crash Analysis'!$C$28</definedName>
    <definedName name="RightFemurF">'Summary Sheet'!$D$42</definedName>
    <definedName name="RightFemurF_t">'Summary Sheet'!$E$42</definedName>
    <definedName name="RightFemurImpulse">'Summary Sheet'!$D$43</definedName>
    <definedName name="RightFootAPG">'Summary Sheet'!$D$56</definedName>
    <definedName name="RightFootAPG_t">'Summary Sheet'!$E$56</definedName>
    <definedName name="RightFootISG">'Summary Sheet'!$D$57</definedName>
    <definedName name="RightFootISG_t">'Summary Sheet'!$E$57</definedName>
    <definedName name="RightFootRG">'Summary Sheet'!$D$58</definedName>
    <definedName name="RightFootRG_t">'Summary Sheet'!$E$58</definedName>
    <definedName name="RightKneeD">'Summary Sheet'!$D$46</definedName>
    <definedName name="RightKneeD_t">'Summary Sheet'!$E$46</definedName>
    <definedName name="RightKTHInjuryLocation">'Summary Sheet'!$D$45</definedName>
    <definedName name="RightKTHRisk">'Summary Sheet'!$D$44</definedName>
    <definedName name="RightLowerTibiaAPM">'Summary Sheet'!$D$52</definedName>
    <definedName name="RightLowerTibiaAPM_t">'Summary Sheet'!$E$52</definedName>
    <definedName name="RightLowerTibiaIndex">'Summary Sheet'!$D$55</definedName>
    <definedName name="RightLowerTibiaIndex_t">'Summary Sheet'!$E$55</definedName>
    <definedName name="RightLowerTibiaLMM">'Summary Sheet'!$D$51</definedName>
    <definedName name="RightLowerTibiaLMM_t">'Summary Sheet'!$E$51</definedName>
    <definedName name="RightLowerTibiaRM">'Summary Sheet'!$D$53</definedName>
    <definedName name="RightLowerTibiaRM_t">'Summary Sheet'!$E$53</definedName>
    <definedName name="RightLowerTibiaZF">'Summary Sheet'!$D$54</definedName>
    <definedName name="RightLowerTibiaZF_t">'Summary Sheet'!$E$54</definedName>
    <definedName name="RightUpperTibiaAPM">'Summary Sheet'!$D$48</definedName>
    <definedName name="RightUpperTibiaAPM_t">'Summary Sheet'!$E$48</definedName>
    <definedName name="RightUpperTibiaIndex">'Summary Sheet'!$D$50</definedName>
    <definedName name="RightUpperTibiaIndex_t">'Summary Sheet'!$E$50</definedName>
    <definedName name="RightUpperTibiaLMM">'Summary Sheet'!$D$47</definedName>
    <definedName name="RightUpperTibiaLMM_t">'Summary Sheet'!$E$47</definedName>
    <definedName name="RightUpperTibiaRM">'Summary Sheet'!$D$49</definedName>
    <definedName name="RightUpperTibiaRM_t">'Summary Sheet'!$E$49</definedName>
    <definedName name="RK_comments">'Crash Analysis'!$B$51</definedName>
    <definedName name="seat_attach_failure">'Crash Analysis'!$B$44</definedName>
    <definedName name="seat_instability">'Crash Analysis'!$B$43</definedName>
    <definedName name="SternumDeflectionRate">'Summary Sheet'!$D$24</definedName>
    <definedName name="SternumDeflectionRate_t">'Summary Sheet'!$E$24</definedName>
    <definedName name="structure_comments">'Crash Analysis'!$B$52</definedName>
    <definedName name="SW_lateral_over10">'Crash Analysis'!$B$34</definedName>
    <definedName name="SW_lateral_over15">'Crash Analysis'!$B$40</definedName>
    <definedName name="SW_vertical_over10">'Crash Analysis'!$B$39</definedName>
    <definedName name="testDate">'Summary Sheet'!$F$1</definedName>
    <definedName name="testDescription">'Summary Sheet'!$B$2</definedName>
    <definedName name="ThoraxG3ms">'Summary Sheet'!$D$21</definedName>
    <definedName name="ThoraxG3ms_t1">'Summary Sheet'!$E$21</definedName>
    <definedName name="ThoraxG3ms_t2">'Summary Sheet'!$F$21</definedName>
    <definedName name="Torso_airbag_deploy_t">'Crash Analysis'!$B$9</definedName>
    <definedName name="VC">'Summary Sheet'!$D$23</definedName>
    <definedName name="VC_t">'Summary Sheet'!$E$23</definedName>
    <definedName name="vehicleDescription">'Summary Sheet'!$B$1</definedName>
  </definedNames>
  <calcPr calcId="162913"/>
</workbook>
</file>

<file path=xl/calcChain.xml><?xml version="1.0" encoding="utf-8"?>
<calcChain xmlns="http://schemas.openxmlformats.org/spreadsheetml/2006/main">
  <c r="B36" i="6" l="1"/>
  <c r="C31" i="6"/>
  <c r="D31" i="6" s="1"/>
  <c r="K27" i="6"/>
  <c r="J27" i="6"/>
  <c r="I27" i="6"/>
  <c r="C27" i="6"/>
  <c r="D27" i="6" s="1"/>
  <c r="K26" i="6"/>
  <c r="J26" i="6"/>
  <c r="I26" i="6"/>
  <c r="C26" i="6"/>
  <c r="D26" i="6" s="1"/>
  <c r="K25" i="6"/>
  <c r="J25" i="6"/>
  <c r="I25" i="6"/>
  <c r="D25" i="6"/>
  <c r="C25" i="6"/>
  <c r="K24" i="6"/>
  <c r="J24" i="6"/>
  <c r="I24" i="6"/>
  <c r="C24" i="6"/>
  <c r="D24" i="6" s="1"/>
  <c r="K23" i="6"/>
  <c r="J23" i="6"/>
  <c r="I23" i="6"/>
  <c r="C23" i="6"/>
  <c r="D23" i="6" s="1"/>
  <c r="K22" i="6"/>
  <c r="J22" i="6"/>
  <c r="I22" i="6"/>
  <c r="C22" i="6"/>
  <c r="D22" i="6" s="1"/>
  <c r="J21" i="6"/>
  <c r="I21" i="6"/>
  <c r="H21" i="6"/>
  <c r="K21" i="6" s="1"/>
  <c r="G21" i="6"/>
  <c r="F21" i="6"/>
  <c r="C21" i="6"/>
  <c r="D21" i="6" s="1"/>
  <c r="K20" i="6"/>
  <c r="J20" i="6"/>
  <c r="I20" i="6"/>
  <c r="D20" i="6"/>
  <c r="C20" i="6"/>
  <c r="K19" i="6"/>
  <c r="J19" i="6"/>
  <c r="I19" i="6"/>
  <c r="C19" i="6"/>
  <c r="D19" i="6" s="1"/>
  <c r="K18" i="6"/>
  <c r="J18" i="6"/>
  <c r="I18" i="6"/>
  <c r="C18" i="6"/>
  <c r="D18" i="6" s="1"/>
  <c r="K17" i="6"/>
  <c r="J17" i="6"/>
  <c r="I17" i="6"/>
  <c r="D17" i="6"/>
  <c r="C17" i="6"/>
  <c r="K16" i="6"/>
  <c r="J16" i="6"/>
  <c r="I16" i="6"/>
  <c r="D16" i="6"/>
  <c r="C16" i="6"/>
  <c r="K15" i="6"/>
  <c r="J15" i="6"/>
  <c r="I15" i="6"/>
  <c r="C15" i="6"/>
  <c r="D15" i="6" s="1"/>
  <c r="K14" i="6"/>
  <c r="J14" i="6"/>
  <c r="I14" i="6"/>
  <c r="D14" i="6"/>
  <c r="C14" i="6"/>
  <c r="K13" i="6"/>
  <c r="J13" i="6"/>
  <c r="I13" i="6"/>
  <c r="C13" i="6"/>
  <c r="D13" i="6" s="1"/>
  <c r="K12" i="6"/>
  <c r="J12" i="6"/>
  <c r="I12" i="6"/>
  <c r="D12" i="6"/>
  <c r="C12" i="6"/>
  <c r="K11" i="6"/>
  <c r="J11" i="6"/>
  <c r="I11" i="6"/>
  <c r="C11" i="6"/>
  <c r="D11" i="6" s="1"/>
  <c r="K10" i="6"/>
  <c r="J10" i="6"/>
  <c r="I10" i="6"/>
  <c r="C10" i="6"/>
  <c r="D10" i="6" s="1"/>
  <c r="K9" i="6"/>
  <c r="J9" i="6"/>
  <c r="I9" i="6"/>
  <c r="D9" i="6"/>
  <c r="C9" i="6"/>
  <c r="K8" i="6"/>
  <c r="J8" i="6"/>
  <c r="I8" i="6"/>
  <c r="D8" i="6"/>
  <c r="C8" i="6"/>
  <c r="K7" i="6"/>
  <c r="J7" i="6"/>
  <c r="I7" i="6"/>
  <c r="C7" i="6"/>
  <c r="D7" i="6" s="1"/>
  <c r="K6" i="6"/>
  <c r="J6" i="6"/>
  <c r="I6" i="6"/>
  <c r="D6" i="6"/>
  <c r="C6" i="6"/>
  <c r="K5" i="6"/>
  <c r="J5" i="6"/>
  <c r="I5" i="6"/>
  <c r="C5" i="6"/>
  <c r="D5" i="6" s="1"/>
  <c r="K4" i="6"/>
  <c r="J4" i="6"/>
  <c r="I4" i="6"/>
  <c r="D4" i="6"/>
  <c r="C4" i="6"/>
  <c r="K3" i="6"/>
  <c r="J3" i="6"/>
  <c r="I3" i="6"/>
  <c r="C3" i="6"/>
  <c r="D3" i="6" s="1"/>
</calcChain>
</file>

<file path=xl/sharedStrings.xml><?xml version="1.0" encoding="utf-8"?>
<sst xmlns="http://schemas.openxmlformats.org/spreadsheetml/2006/main" count="202" uniqueCount="156">
  <si>
    <t>Test date:</t>
  </si>
  <si>
    <t>Created on:</t>
  </si>
  <si>
    <t>Actual Test Impact Speed (km/h):</t>
  </si>
  <si>
    <t>Reference Value</t>
  </si>
  <si>
    <t>Measured Value</t>
  </si>
  <si>
    <t>t1</t>
  </si>
  <si>
    <t>t2</t>
  </si>
  <si>
    <t>Head</t>
  </si>
  <si>
    <t>Resultant acceleration (g)</t>
  </si>
  <si>
    <t>Resultant acceleration (3ms clip, g)</t>
  </si>
  <si>
    <t>HIC</t>
  </si>
  <si>
    <t>HIC15</t>
  </si>
  <si>
    <t>Neck</t>
  </si>
  <si>
    <t>±3.1</t>
  </si>
  <si>
    <t>Axial compression (kN)</t>
  </si>
  <si>
    <t>Axial tension (kN)</t>
  </si>
  <si>
    <t>Flexion moment (Nm)</t>
  </si>
  <si>
    <t>Extension moment (Nm)</t>
  </si>
  <si>
    <t>Nij - Tension-Extension</t>
  </si>
  <si>
    <t>Nij - Tension-Flexion</t>
  </si>
  <si>
    <t>Nij - Compression-Extension</t>
  </si>
  <si>
    <t>Nij - Compression-Flexion</t>
  </si>
  <si>
    <t>Chest</t>
  </si>
  <si>
    <t>X displacement (mm)</t>
  </si>
  <si>
    <t>V*C (m/s)</t>
  </si>
  <si>
    <t>Sternum deflection rate (m/s)</t>
  </si>
  <si>
    <t>Left Leg</t>
  </si>
  <si>
    <t>Left femur maximum force (kN)</t>
  </si>
  <si>
    <t>Left knee displacement (mm)</t>
  </si>
  <si>
    <t>±225</t>
  </si>
  <si>
    <t>Left upper tibia resultant moment (Nm)</t>
  </si>
  <si>
    <t>Left upper tibia index</t>
  </si>
  <si>
    <t>Left lower tibia resultant moment (Nm)</t>
  </si>
  <si>
    <t>Left lower tibia axial force (kN)</t>
  </si>
  <si>
    <t>Left lower tibia index</t>
  </si>
  <si>
    <t>Left foot resultant acceleration (g)</t>
  </si>
  <si>
    <t>Right Leg</t>
  </si>
  <si>
    <t>Right femur maximum force (kN)</t>
  </si>
  <si>
    <t>Right knee displacement (mm)</t>
  </si>
  <si>
    <t>Right upper tibia resultant moment (Nm)</t>
  </si>
  <si>
    <t>Right upper tibia index</t>
  </si>
  <si>
    <t>Right lower tibia resultant moment (Nm)</t>
  </si>
  <si>
    <t>Right lower tibia axial force (kN)</t>
  </si>
  <si>
    <t>Right lower tibia index</t>
  </si>
  <si>
    <t>Right foot resultant acceleration (g)</t>
  </si>
  <si>
    <t>Vehicle</t>
  </si>
  <si>
    <t>Resultant acc. (g)</t>
  </si>
  <si>
    <t>Longitudinal acceleration (g)</t>
  </si>
  <si>
    <t>Lateral acceleration (g)</t>
  </si>
  <si>
    <t>Vertical acceleration (g)</t>
  </si>
  <si>
    <t>Rating Boundary Values</t>
  </si>
  <si>
    <t>Normalized Boundaries</t>
  </si>
  <si>
    <t>As Measured</t>
  </si>
  <si>
    <t>Normal-
ized</t>
  </si>
  <si>
    <t>IARV</t>
  </si>
  <si>
    <t>G-A</t>
  </si>
  <si>
    <t>A-M</t>
  </si>
  <si>
    <t>M-P</t>
  </si>
  <si>
    <t>Graph Max</t>
  </si>
  <si>
    <t>Neck axial compression</t>
  </si>
  <si>
    <t>Neck axial tension</t>
  </si>
  <si>
    <t>Chest acceleration (3ms clip)</t>
  </si>
  <si>
    <t>Chest compression</t>
  </si>
  <si>
    <t>Sternum deflection rate</t>
  </si>
  <si>
    <t>Viscous criteria</t>
  </si>
  <si>
    <t>Left knee displacement</t>
  </si>
  <si>
    <t>Left tibia axial force</t>
  </si>
  <si>
    <t>Left foot acceleration</t>
  </si>
  <si>
    <t>Right knee displacement</t>
  </si>
  <si>
    <t>Right tibia axial force</t>
  </si>
  <si>
    <t>Right foot acceleration</t>
  </si>
  <si>
    <t>Graph Data</t>
  </si>
  <si>
    <t>Neck A-P shear force</t>
  </si>
  <si>
    <t>Name of test folder</t>
  </si>
  <si>
    <t>TESTID</t>
  </si>
  <si>
    <t>Year Make Model</t>
  </si>
  <si>
    <t>Nominal  Conditions</t>
  </si>
  <si>
    <t>Left KTH injury risk</t>
  </si>
  <si>
    <t>Right KTH injury risk</t>
  </si>
  <si>
    <t>Left femur impulse (Ns)</t>
  </si>
  <si>
    <t>Right femur impulse (Ns)</t>
  </si>
  <si>
    <t>Left KTH injury location</t>
  </si>
  <si>
    <t>Right KTH injury location</t>
  </si>
  <si>
    <t>Left KTH injury</t>
  </si>
  <si>
    <t>Right KTH injury</t>
  </si>
  <si>
    <t>Left femur force</t>
  </si>
  <si>
    <t>Right femur force</t>
  </si>
  <si>
    <t>Impact speed (km/h)</t>
  </si>
  <si>
    <t>Time (ms)</t>
  </si>
  <si>
    <t>Event</t>
  </si>
  <si>
    <t>Activation of seat belt crash tensioner</t>
  </si>
  <si>
    <t xml:space="preserve">Driver frontal airbag deployment </t>
  </si>
  <si>
    <t xml:space="preserve">Side curtain airbag deployment </t>
  </si>
  <si>
    <t>Side torso airbag deployment</t>
  </si>
  <si>
    <t>Inflating frontal airbag contacts dummy face</t>
  </si>
  <si>
    <t>Frontal airbag fully deployed</t>
  </si>
  <si>
    <t>Dummy face begins loading frontal airbag</t>
  </si>
  <si>
    <t>Other notable events</t>
  </si>
  <si>
    <t>Crash conditions</t>
  </si>
  <si>
    <t>Dummy head hard contacts</t>
  </si>
  <si>
    <t>Belt position (mm)</t>
  </si>
  <si>
    <t>Maximum retraction</t>
  </si>
  <si>
    <t>Net spoolout (relative to zero)</t>
  </si>
  <si>
    <t>Excursion spool-out</t>
  </si>
  <si>
    <t>Belt Spool-out</t>
  </si>
  <si>
    <t>Initial spool-out</t>
  </si>
  <si>
    <t>Restraints and Dummy Kinematics Demertis</t>
  </si>
  <si>
    <t>Excessive lateral steering wheel movement (&gt;10 cm)</t>
  </si>
  <si>
    <t>Two or more hard head contacts with structure</t>
  </si>
  <si>
    <t xml:space="preserve">Late deployment or non deployment of frontal airbag </t>
  </si>
  <si>
    <t>Excessive head lateral movement</t>
  </si>
  <si>
    <t xml:space="preserve">Excessive vertical steering wheel movement (&gt;10 cm) </t>
  </si>
  <si>
    <t>Excessive lateral steering wheel movement (&gt;15 cm)</t>
  </si>
  <si>
    <t xml:space="preserve">Excessive occupant forward excursion </t>
  </si>
  <si>
    <t>Occupant burn risk</t>
  </si>
  <si>
    <t>Seat instability</t>
  </si>
  <si>
    <t>Seat attachment failure</t>
  </si>
  <si>
    <t>Vehicle door opening</t>
  </si>
  <si>
    <t>Frontal airbag interaction</t>
  </si>
  <si>
    <t>Demerits</t>
  </si>
  <si>
    <t>Curtain airbag coverage</t>
  </si>
  <si>
    <t>sufficient 0, limited 1, None 2</t>
  </si>
  <si>
    <t>Stable 0, Partial 1 Minimal/None 2</t>
  </si>
  <si>
    <t>Other</t>
  </si>
  <si>
    <t>Other description</t>
  </si>
  <si>
    <t>Comments</t>
  </si>
  <si>
    <t>Channel comments</t>
  </si>
  <si>
    <t>R&amp;K (clarification of demerits)</t>
  </si>
  <si>
    <t>Structure</t>
  </si>
  <si>
    <t>Dummy damage</t>
  </si>
  <si>
    <t>Measured overlap (%)</t>
  </si>
  <si>
    <t>X shear force (kN)</t>
  </si>
  <si>
    <t>Left upper tibia X moment (Nm)</t>
  </si>
  <si>
    <t>Left upper tibia Y moment (Nm)</t>
  </si>
  <si>
    <t>Left lower tibia X moment (Nm)</t>
  </si>
  <si>
    <t>Left lower tibia Y moment (Nm)</t>
  </si>
  <si>
    <t>Left foot X acceleration (g)</t>
  </si>
  <si>
    <t>Left foot Z acceleration (g)</t>
  </si>
  <si>
    <t>Right upper tibia X moment (Nm)</t>
  </si>
  <si>
    <t>Right upper tibia Y moment (Nm)</t>
  </si>
  <si>
    <t>Right lower tibia X moment (Nm)</t>
  </si>
  <si>
    <t>Right lower tibia Y moment (Nm)</t>
  </si>
  <si>
    <t>Right foot X acceleration (g)</t>
  </si>
  <si>
    <t>Right foot Z acceleration (g)</t>
  </si>
  <si>
    <t>Y force (kN)</t>
  </si>
  <si>
    <t>Head hard contact(s) that results in a head/neck injury downgrade</t>
  </si>
  <si>
    <t>Bottoming of frontal airbag (&gt; 70 g)</t>
  </si>
  <si>
    <t>Other hard contacts (&gt; 70 g)</t>
  </si>
  <si>
    <t>0 = not checked, 1 = checked</t>
  </si>
  <si>
    <t>Passenger airbag deployment</t>
  </si>
  <si>
    <t>Description</t>
  </si>
  <si>
    <t>Dummy Damage</t>
  </si>
  <si>
    <t>Deployment of side curtain airbag</t>
  </si>
  <si>
    <r>
      <t>Angular Rate X (</t>
    </r>
    <r>
      <rPr>
        <sz val="10"/>
        <rFont val="Calibri"/>
        <family val="2"/>
      </rPr>
      <t>⁰</t>
    </r>
    <r>
      <rPr>
        <sz val="10"/>
        <rFont val="Univers Condensed"/>
        <family val="2"/>
      </rPr>
      <t>/s)</t>
    </r>
  </si>
  <si>
    <t>Angular Rate Y (⁰/s)</t>
  </si>
  <si>
    <t>Angular Rate Z (⁰/s)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</si>
</sst>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6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10"/>
      <name val="Univers Condensed"/>
    </font>
    <font>
      <b/>
      <sz val="11"/>
      <name val="Univers Condensed"/>
      <family val="2"/>
    </font>
    <font>
      <sz val="11"/>
      <name val="Univers Condensed"/>
      <family val="2"/>
    </font>
    <font>
      <sz val="10"/>
      <name val="Univers Condensed"/>
      <family val="2"/>
    </font>
    <font>
      <b/>
      <sz val="10"/>
      <name val="Univers Condensed"/>
    </font>
    <font>
      <b/>
      <sz val="10"/>
      <name val="Univers Condensed"/>
      <family val="2"/>
    </font>
    <font>
      <sz val="9"/>
      <name val="Univers Condensed"/>
      <family val="2"/>
    </font>
    <font>
      <b/>
      <sz val="9"/>
      <name val="Univers Condensed"/>
    </font>
    <font>
      <sz val="11"/>
      <name val="Univers Condensed"/>
    </font>
    <font>
      <sz val="10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9" fontId="12" fillId="0" borderId="0" applyFont="0" applyFill="0" applyBorder="0" applyAlignment="0" applyProtection="0"/>
  </cellStyleXfs>
  <cellXfs count="161">
    <xf numFmtId="0" fontId="0" fillId="0" borderId="0" xfId="0"/>
    <xf numFmtId="0" fontId="4" fillId="0" borderId="0" xfId="2" applyFont="1"/>
    <xf numFmtId="0" fontId="5" fillId="0" borderId="0" xfId="2" applyFont="1"/>
    <xf numFmtId="0" fontId="6" fillId="0" borderId="0" xfId="2" applyFont="1" applyAlignment="1">
      <alignment horizontal="right"/>
    </xf>
    <xf numFmtId="0" fontId="6" fillId="0" borderId="0" xfId="2" applyFont="1"/>
    <xf numFmtId="0" fontId="7" fillId="0" borderId="0" xfId="2" applyFont="1" applyAlignment="1">
      <alignment horizontal="right" wrapText="1"/>
    </xf>
    <xf numFmtId="164" fontId="4" fillId="0" borderId="0" xfId="2" applyNumberFormat="1" applyFont="1" applyBorder="1" applyAlignment="1">
      <alignment horizontal="left"/>
    </xf>
    <xf numFmtId="0" fontId="8" fillId="0" borderId="1" xfId="2" applyFont="1" applyBorder="1" applyAlignment="1">
      <alignment horizontal="center" wrapText="1"/>
    </xf>
    <xf numFmtId="0" fontId="8" fillId="0" borderId="2" xfId="2" applyFont="1" applyBorder="1" applyAlignment="1">
      <alignment horizontal="center" wrapText="1"/>
    </xf>
    <xf numFmtId="0" fontId="6" fillId="0" borderId="0" xfId="2" applyFont="1" applyBorder="1"/>
    <xf numFmtId="0" fontId="8" fillId="0" borderId="3" xfId="2" applyFont="1" applyBorder="1"/>
    <xf numFmtId="0" fontId="6" fillId="0" borderId="4" xfId="2" applyFont="1" applyBorder="1"/>
    <xf numFmtId="0" fontId="6" fillId="0" borderId="3" xfId="2" applyFont="1" applyBorder="1" applyAlignment="1">
      <alignment horizontal="right"/>
    </xf>
    <xf numFmtId="1" fontId="6" fillId="0" borderId="5" xfId="2" applyNumberFormat="1" applyFont="1" applyBorder="1"/>
    <xf numFmtId="1" fontId="6" fillId="0" borderId="3" xfId="2" applyNumberFormat="1" applyFont="1" applyBorder="1"/>
    <xf numFmtId="0" fontId="3" fillId="0" borderId="0" xfId="2"/>
    <xf numFmtId="0" fontId="8" fillId="0" borderId="6" xfId="2" applyFont="1" applyBorder="1"/>
    <xf numFmtId="0" fontId="6" fillId="0" borderId="6" xfId="2" applyFont="1" applyBorder="1" applyAlignment="1">
      <alignment horizontal="right"/>
    </xf>
    <xf numFmtId="1" fontId="6" fillId="0" borderId="6" xfId="2" applyNumberFormat="1" applyFont="1" applyBorder="1"/>
    <xf numFmtId="0" fontId="6" fillId="0" borderId="7" xfId="2" applyFont="1" applyBorder="1"/>
    <xf numFmtId="0" fontId="8" fillId="0" borderId="8" xfId="2" applyFont="1" applyBorder="1"/>
    <xf numFmtId="0" fontId="6" fillId="0" borderId="9" xfId="2" applyFont="1" applyBorder="1"/>
    <xf numFmtId="0" fontId="6" fillId="0" borderId="8" xfId="2" applyFont="1" applyBorder="1" applyAlignment="1">
      <alignment horizontal="right"/>
    </xf>
    <xf numFmtId="1" fontId="6" fillId="0" borderId="10" xfId="2" applyNumberFormat="1" applyFont="1" applyBorder="1"/>
    <xf numFmtId="1" fontId="6" fillId="0" borderId="8" xfId="2" applyNumberFormat="1" applyFont="1" applyBorder="1"/>
    <xf numFmtId="0" fontId="6" fillId="0" borderId="6" xfId="2" applyFont="1" applyBorder="1"/>
    <xf numFmtId="164" fontId="6" fillId="0" borderId="5" xfId="2" applyNumberFormat="1" applyFont="1" applyBorder="1"/>
    <xf numFmtId="164" fontId="6" fillId="0" borderId="6" xfId="2" applyNumberFormat="1" applyFont="1" applyBorder="1" applyAlignment="1">
      <alignment horizontal="right"/>
    </xf>
    <xf numFmtId="0" fontId="6" fillId="0" borderId="7" xfId="2" applyFont="1" applyBorder="1" applyAlignment="1">
      <alignment horizontal="right"/>
    </xf>
    <xf numFmtId="1" fontId="6" fillId="0" borderId="7" xfId="2" applyNumberFormat="1" applyFont="1" applyBorder="1"/>
    <xf numFmtId="0" fontId="8" fillId="0" borderId="7" xfId="2" applyFont="1" applyBorder="1"/>
    <xf numFmtId="164" fontId="6" fillId="0" borderId="7" xfId="2" applyNumberFormat="1" applyFont="1" applyBorder="1" applyAlignment="1">
      <alignment horizontal="right"/>
    </xf>
    <xf numFmtId="2" fontId="6" fillId="0" borderId="6" xfId="2" applyNumberFormat="1" applyFont="1" applyBorder="1"/>
    <xf numFmtId="0" fontId="8" fillId="0" borderId="4" xfId="2" applyFont="1" applyBorder="1"/>
    <xf numFmtId="0" fontId="6" fillId="0" borderId="4" xfId="2" applyFont="1" applyBorder="1" applyAlignment="1">
      <alignment horizontal="right"/>
    </xf>
    <xf numFmtId="1" fontId="6" fillId="0" borderId="0" xfId="2" applyNumberFormat="1" applyFont="1" applyBorder="1"/>
    <xf numFmtId="164" fontId="6" fillId="0" borderId="6" xfId="2" applyNumberFormat="1" applyFont="1" applyBorder="1"/>
    <xf numFmtId="0" fontId="8" fillId="0" borderId="9" xfId="2" applyFont="1" applyBorder="1"/>
    <xf numFmtId="164" fontId="6" fillId="0" borderId="9" xfId="2" applyNumberFormat="1" applyFont="1" applyBorder="1" applyAlignment="1">
      <alignment horizontal="right"/>
    </xf>
    <xf numFmtId="164" fontId="6" fillId="0" borderId="8" xfId="2" applyNumberFormat="1" applyFont="1" applyBorder="1"/>
    <xf numFmtId="0" fontId="6" fillId="0" borderId="8" xfId="2" applyFont="1" applyBorder="1"/>
    <xf numFmtId="1" fontId="6" fillId="0" borderId="11" xfId="2" applyNumberFormat="1" applyFont="1" applyBorder="1"/>
    <xf numFmtId="2" fontId="6" fillId="0" borderId="8" xfId="2" applyNumberFormat="1" applyFont="1" applyBorder="1" applyAlignment="1">
      <alignment horizontal="right"/>
    </xf>
    <xf numFmtId="2" fontId="6" fillId="0" borderId="10" xfId="2" applyNumberFormat="1" applyFont="1" applyBorder="1"/>
    <xf numFmtId="0" fontId="6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3" xfId="2" applyFont="1" applyBorder="1"/>
    <xf numFmtId="0" fontId="3" fillId="0" borderId="6" xfId="2" applyBorder="1"/>
    <xf numFmtId="0" fontId="3" fillId="0" borderId="8" xfId="2" applyBorder="1"/>
    <xf numFmtId="0" fontId="3" fillId="0" borderId="12" xfId="2" applyBorder="1"/>
    <xf numFmtId="0" fontId="5" fillId="0" borderId="0" xfId="2" applyFont="1" applyAlignment="1">
      <alignment horizontal="right"/>
    </xf>
    <xf numFmtId="0" fontId="9" fillId="0" borderId="0" xfId="1" applyFont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3" xfId="1" applyFont="1" applyBorder="1"/>
    <xf numFmtId="0" fontId="9" fillId="0" borderId="14" xfId="1" applyFont="1" applyBorder="1" applyAlignment="1">
      <alignment horizontal="center"/>
    </xf>
    <xf numFmtId="0" fontId="9" fillId="0" borderId="8" xfId="1" applyFont="1" applyBorder="1" applyAlignment="1">
      <alignment horizontal="center" wrapText="1"/>
    </xf>
    <xf numFmtId="2" fontId="9" fillId="0" borderId="3" xfId="1" applyNumberFormat="1" applyFont="1" applyBorder="1"/>
    <xf numFmtId="0" fontId="9" fillId="0" borderId="0" xfId="1" applyFont="1" applyBorder="1"/>
    <xf numFmtId="0" fontId="9" fillId="0" borderId="5" xfId="1" applyFont="1" applyBorder="1"/>
    <xf numFmtId="2" fontId="9" fillId="0" borderId="7" xfId="1" applyNumberFormat="1" applyFont="1" applyBorder="1"/>
    <xf numFmtId="0" fontId="9" fillId="0" borderId="6" xfId="1" applyFont="1" applyBorder="1"/>
    <xf numFmtId="2" fontId="9" fillId="0" borderId="6" xfId="1" applyNumberFormat="1" applyFont="1" applyBorder="1"/>
    <xf numFmtId="2" fontId="9" fillId="0" borderId="0" xfId="1" applyNumberFormat="1" applyFont="1" applyBorder="1"/>
    <xf numFmtId="2" fontId="9" fillId="0" borderId="5" xfId="1" applyNumberFormat="1" applyFont="1" applyBorder="1"/>
    <xf numFmtId="1" fontId="9" fillId="0" borderId="6" xfId="1" applyNumberFormat="1" applyFont="1" applyBorder="1"/>
    <xf numFmtId="0" fontId="9" fillId="0" borderId="8" xfId="1" applyFont="1" applyBorder="1"/>
    <xf numFmtId="2" fontId="9" fillId="0" borderId="8" xfId="1" applyNumberFormat="1" applyFont="1" applyBorder="1"/>
    <xf numFmtId="0" fontId="9" fillId="0" borderId="0" xfId="1" applyFont="1" applyBorder="1" applyAlignment="1">
      <alignment horizontal="center"/>
    </xf>
    <xf numFmtId="0" fontId="9" fillId="0" borderId="1" xfId="1" applyFont="1" applyBorder="1"/>
    <xf numFmtId="2" fontId="9" fillId="0" borderId="1" xfId="1" applyNumberFormat="1" applyFont="1" applyBorder="1"/>
    <xf numFmtId="0" fontId="9" fillId="0" borderId="13" xfId="1" applyFont="1" applyBorder="1"/>
    <xf numFmtId="0" fontId="9" fillId="0" borderId="2" xfId="1" applyFont="1" applyBorder="1"/>
    <xf numFmtId="0" fontId="6" fillId="0" borderId="6" xfId="2" applyFont="1" applyFill="1" applyBorder="1"/>
    <xf numFmtId="0" fontId="6" fillId="0" borderId="6" xfId="2" applyFont="1" applyFill="1" applyBorder="1" applyAlignment="1">
      <alignment horizontal="right"/>
    </xf>
    <xf numFmtId="1" fontId="6" fillId="0" borderId="6" xfId="2" applyNumberFormat="1" applyFont="1" applyFill="1" applyBorder="1"/>
    <xf numFmtId="0" fontId="9" fillId="0" borderId="0" xfId="1" applyFont="1" applyFill="1" applyBorder="1"/>
    <xf numFmtId="0" fontId="10" fillId="0" borderId="0" xfId="1" applyFont="1"/>
    <xf numFmtId="14" fontId="6" fillId="0" borderId="0" xfId="2" applyNumberFormat="1" applyFont="1" applyAlignment="1">
      <alignment horizontal="right"/>
    </xf>
    <xf numFmtId="14" fontId="6" fillId="0" borderId="0" xfId="2" applyNumberFormat="1" applyFont="1"/>
    <xf numFmtId="0" fontId="5" fillId="0" borderId="0" xfId="2" applyFont="1" applyBorder="1"/>
    <xf numFmtId="0" fontId="6" fillId="0" borderId="0" xfId="2" applyFont="1" applyBorder="1" applyAlignment="1">
      <alignment horizontal="right"/>
    </xf>
    <xf numFmtId="164" fontId="6" fillId="0" borderId="0" xfId="2" applyNumberFormat="1" applyFont="1" applyBorder="1" applyAlignment="1">
      <alignment horizontal="right"/>
    </xf>
    <xf numFmtId="0" fontId="6" fillId="0" borderId="0" xfId="2" applyFont="1" applyFill="1" applyBorder="1" applyAlignment="1">
      <alignment horizontal="right"/>
    </xf>
    <xf numFmtId="2" fontId="6" fillId="0" borderId="0" xfId="2" applyNumberFormat="1" applyFont="1" applyBorder="1" applyAlignment="1">
      <alignment horizontal="right"/>
    </xf>
    <xf numFmtId="0" fontId="3" fillId="0" borderId="0" xfId="2" applyBorder="1"/>
    <xf numFmtId="0" fontId="5" fillId="0" borderId="0" xfId="2" applyFont="1" applyFill="1"/>
    <xf numFmtId="0" fontId="3" fillId="0" borderId="6" xfId="2" applyFont="1" applyBorder="1" applyAlignment="1">
      <alignment horizontal="right"/>
    </xf>
    <xf numFmtId="1" fontId="3" fillId="0" borderId="5" xfId="2" applyNumberFormat="1" applyFont="1" applyBorder="1"/>
    <xf numFmtId="0" fontId="3" fillId="0" borderId="8" xfId="2" applyFont="1" applyBorder="1" applyAlignment="1">
      <alignment horizontal="right"/>
    </xf>
    <xf numFmtId="1" fontId="3" fillId="0" borderId="10" xfId="2" applyNumberFormat="1" applyFont="1" applyBorder="1"/>
    <xf numFmtId="164" fontId="3" fillId="0" borderId="5" xfId="2" applyNumberFormat="1" applyFont="1" applyBorder="1"/>
    <xf numFmtId="0" fontId="11" fillId="0" borderId="0" xfId="2" applyFont="1"/>
    <xf numFmtId="1" fontId="6" fillId="0" borderId="8" xfId="2" applyNumberFormat="1" applyFont="1" applyBorder="1" applyAlignment="1">
      <alignment horizontal="right"/>
    </xf>
    <xf numFmtId="2" fontId="9" fillId="0" borderId="9" xfId="1" applyNumberFormat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/>
    <xf numFmtId="0" fontId="9" fillId="0" borderId="11" xfId="1" applyFont="1" applyBorder="1"/>
    <xf numFmtId="2" fontId="9" fillId="0" borderId="4" xfId="1" applyNumberFormat="1" applyFont="1" applyBorder="1"/>
    <xf numFmtId="2" fontId="9" fillId="0" borderId="15" xfId="1" applyNumberFormat="1" applyFont="1" applyBorder="1"/>
    <xf numFmtId="2" fontId="9" fillId="0" borderId="11" xfId="1" applyNumberFormat="1" applyFont="1" applyBorder="1"/>
    <xf numFmtId="1" fontId="9" fillId="0" borderId="12" xfId="1" applyNumberFormat="1" applyFont="1" applyBorder="1"/>
    <xf numFmtId="1" fontId="9" fillId="0" borderId="10" xfId="1" applyNumberFormat="1" applyFont="1" applyBorder="1"/>
    <xf numFmtId="164" fontId="9" fillId="0" borderId="11" xfId="1" applyNumberFormat="1" applyFont="1" applyBorder="1"/>
    <xf numFmtId="0" fontId="9" fillId="0" borderId="12" xfId="1" applyFont="1" applyBorder="1"/>
    <xf numFmtId="2" fontId="9" fillId="0" borderId="12" xfId="1" applyNumberFormat="1" applyFont="1" applyBorder="1"/>
    <xf numFmtId="164" fontId="9" fillId="0" borderId="3" xfId="1" applyNumberFormat="1" applyFont="1" applyBorder="1"/>
    <xf numFmtId="2" fontId="9" fillId="0" borderId="10" xfId="1" applyNumberFormat="1" applyFont="1" applyBorder="1"/>
    <xf numFmtId="0" fontId="9" fillId="0" borderId="10" xfId="1" applyFont="1" applyBorder="1"/>
    <xf numFmtId="0" fontId="9" fillId="0" borderId="1" xfId="1" applyFont="1" applyBorder="1" applyAlignment="1">
      <alignment horizontal="center" wrapText="1"/>
    </xf>
    <xf numFmtId="164" fontId="9" fillId="0" borderId="0" xfId="1" applyNumberFormat="1" applyFont="1" applyBorder="1"/>
    <xf numFmtId="164" fontId="9" fillId="0" borderId="5" xfId="1" applyNumberFormat="1" applyFont="1" applyBorder="1"/>
    <xf numFmtId="164" fontId="9" fillId="0" borderId="7" xfId="1" applyNumberFormat="1" applyFont="1" applyBorder="1"/>
    <xf numFmtId="164" fontId="9" fillId="0" borderId="6" xfId="1" applyNumberFormat="1" applyFont="1" applyBorder="1"/>
    <xf numFmtId="165" fontId="6" fillId="0" borderId="0" xfId="3" applyNumberFormat="1" applyFont="1"/>
    <xf numFmtId="165" fontId="6" fillId="0" borderId="6" xfId="3" applyNumberFormat="1" applyFont="1" applyBorder="1" applyAlignment="1">
      <alignment horizontal="right"/>
    </xf>
    <xf numFmtId="2" fontId="6" fillId="0" borderId="5" xfId="2" applyNumberFormat="1" applyFont="1" applyBorder="1"/>
    <xf numFmtId="2" fontId="6" fillId="0" borderId="3" xfId="2" applyNumberFormat="1" applyFont="1" applyBorder="1" applyAlignment="1">
      <alignment horizontal="right"/>
    </xf>
    <xf numFmtId="164" fontId="6" fillId="0" borderId="5" xfId="3" applyNumberFormat="1" applyFont="1" applyFill="1" applyBorder="1"/>
    <xf numFmtId="164" fontId="6" fillId="0" borderId="6" xfId="3" applyNumberFormat="1" applyFont="1" applyFill="1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0" fontId="13" fillId="0" borderId="20" xfId="0" applyFont="1" applyBorder="1"/>
    <xf numFmtId="0" fontId="1" fillId="0" borderId="21" xfId="0" applyFont="1" applyBorder="1"/>
    <xf numFmtId="0" fontId="0" fillId="0" borderId="16" xfId="0" applyBorder="1"/>
    <xf numFmtId="0" fontId="0" fillId="0" borderId="18" xfId="0" applyBorder="1"/>
    <xf numFmtId="0" fontId="13" fillId="0" borderId="20" xfId="0" applyFont="1" applyBorder="1" applyAlignment="1">
      <alignment horizontal="left"/>
    </xf>
    <xf numFmtId="0" fontId="1" fillId="0" borderId="16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21" xfId="0" applyBorder="1"/>
    <xf numFmtId="0" fontId="1" fillId="0" borderId="0" xfId="0" applyFont="1"/>
    <xf numFmtId="0" fontId="1" fillId="0" borderId="16" xfId="0" applyFont="1" applyBorder="1"/>
    <xf numFmtId="0" fontId="1" fillId="0" borderId="16" xfId="0" applyFont="1" applyFill="1" applyBorder="1"/>
    <xf numFmtId="0" fontId="1" fillId="0" borderId="18" xfId="0" applyFont="1" applyFill="1" applyBorder="1"/>
    <xf numFmtId="0" fontId="13" fillId="0" borderId="23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" fillId="0" borderId="16" xfId="0" applyFont="1" applyBorder="1" applyAlignment="1">
      <alignment vertical="top" wrapText="1"/>
    </xf>
    <xf numFmtId="0" fontId="1" fillId="0" borderId="16" xfId="0" applyFont="1" applyFill="1" applyBorder="1" applyAlignment="1">
      <alignment vertical="top" wrapText="1"/>
    </xf>
    <xf numFmtId="0" fontId="1" fillId="0" borderId="18" xfId="0" applyFont="1" applyFill="1" applyBorder="1" applyAlignment="1">
      <alignment vertical="top" wrapText="1"/>
    </xf>
    <xf numFmtId="0" fontId="0" fillId="0" borderId="24" xfId="0" applyBorder="1"/>
    <xf numFmtId="0" fontId="0" fillId="0" borderId="19" xfId="0" applyFill="1" applyBorder="1" applyAlignment="1">
      <alignment horizontal="center"/>
    </xf>
    <xf numFmtId="0" fontId="0" fillId="0" borderId="17" xfId="0" applyFill="1" applyBorder="1"/>
    <xf numFmtId="0" fontId="0" fillId="0" borderId="19" xfId="0" applyFill="1" applyBorder="1"/>
    <xf numFmtId="0" fontId="0" fillId="0" borderId="16" xfId="0" applyFill="1" applyBorder="1"/>
    <xf numFmtId="0" fontId="0" fillId="0" borderId="18" xfId="0" applyFill="1" applyBorder="1"/>
    <xf numFmtId="0" fontId="0" fillId="0" borderId="25" xfId="0" applyFill="1" applyBorder="1"/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4" fillId="0" borderId="17" xfId="0" applyFont="1" applyFill="1" applyBorder="1" applyAlignment="1">
      <alignment wrapText="1"/>
    </xf>
    <xf numFmtId="0" fontId="0" fillId="0" borderId="22" xfId="0" applyFill="1" applyBorder="1"/>
    <xf numFmtId="0" fontId="0" fillId="0" borderId="0" xfId="0" applyBorder="1"/>
    <xf numFmtId="0" fontId="1" fillId="0" borderId="24" xfId="0" applyFont="1" applyBorder="1" applyAlignment="1">
      <alignment horizontal="right"/>
    </xf>
    <xf numFmtId="0" fontId="1" fillId="0" borderId="25" xfId="0" applyFont="1" applyBorder="1"/>
    <xf numFmtId="0" fontId="8" fillId="0" borderId="5" xfId="2" applyFont="1" applyBorder="1"/>
    <xf numFmtId="1" fontId="3" fillId="0" borderId="6" xfId="2" applyNumberFormat="1" applyFont="1" applyBorder="1"/>
    <xf numFmtId="0" fontId="0" fillId="0" borderId="24" xfId="0" applyFill="1" applyBorder="1"/>
    <xf numFmtId="0" fontId="0" fillId="0" borderId="17" xfId="0" applyBorder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14" xfId="1" applyFont="1" applyBorder="1" applyAlignment="1">
      <alignment horizontal="center"/>
    </xf>
  </cellXfs>
  <cellStyles count="4">
    <cellStyle name="Normal" xfId="0" builtinId="0"/>
    <cellStyle name="Normal_Ratings chart" xfId="1"/>
    <cellStyle name="Normal_Summary sheet" xfId="2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1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worksheet" Target="worksheets/sheet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51"/>
          <c:y val="7.8306878306878311E-2"/>
          <c:w val="0.66704382406745122"/>
          <c:h val="0.84001233179185386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Data'!$L$3:$L$13,'Ratings Chart Data'!$L$15:$L$20,'Ratings Chart Data'!$L$22:$L$27)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A-49DD-A78C-4C33395F8F1B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Data'!$K$3:$K$13,'Ratings Chart Data'!$K$15:$K$20,'Ratings Chart Data'!$K$22:$K$27)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 formatCode="0.0">
                  <c:v>1.493150684931507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 formatCode="0.0">
                  <c:v>1.493150684931507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A-49DD-A78C-4C33395F8F1B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Data'!$J$3:$J$13,'Ratings Chart Data'!$J$15:$J$20,'Ratings Chart Data'!$J$22:$J$27)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 formatCode="0.0">
                  <c:v>1.2465753424657533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 formatCode="0.0">
                  <c:v>1.2465753424657533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0A-49DD-A78C-4C33395F8F1B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Data'!$I$3:$I$13,'Ratings Chart Data'!$I$15:$I$20,'Ratings Chart Data'!$I$22:$I$27)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 formatCode="0.0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 formatCode="0.0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768584"/>
        <c:axId val="213095200"/>
      </c:barChart>
      <c:barChart>
        <c:barDir val="bar"/>
        <c:grouping val="clustered"/>
        <c:varyColors val="0"/>
        <c:ser>
          <c:idx val="4"/>
          <c:order val="4"/>
          <c:tx>
            <c:v>Measured Values</c:v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Data'!$D$3:$D$13,'Ratings Chart Data'!$D$15:$D$20,'Ratings Chart Data'!$D$22:$D$27)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2086680"/>
        <c:axId val="158792536"/>
      </c:barChart>
      <c:catAx>
        <c:axId val="2137685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09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095200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768584"/>
        <c:crosses val="max"/>
        <c:crossBetween val="between"/>
        <c:majorUnit val="0.5"/>
      </c:valAx>
      <c:catAx>
        <c:axId val="21208668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158792536"/>
        <c:crosses val="autoZero"/>
        <c:auto val="1"/>
        <c:lblAlgn val="ctr"/>
        <c:lblOffset val="100"/>
        <c:noMultiLvlLbl val="0"/>
      </c:catAx>
      <c:valAx>
        <c:axId val="158792536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20866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7"/>
          <c:y val="0.96447666263939813"/>
          <c:w val="0.58318746520320708"/>
          <c:h val="2.2824924662195011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46"/>
          <c:y val="7.8306878306878311E-2"/>
          <c:w val="0.66704382406745111"/>
          <c:h val="0.84001233179185397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Data'!$L$3:$L$14,'Ratings Chart Data'!$L$16:$L$21,'Ratings Chart Data'!$L$23:$L$27)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B-4BD6-B20E-F8CB1741FEE3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Data'!$K$3:$K$14,'Ratings Chart Data'!$K$16:$K$21,'Ratings Chart Data'!$K$23:$K$27)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>
                  <c:v>1.6666666666666667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>
                  <c:v>1.6666666666666667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B-4BD6-B20E-F8CB1741FEE3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Data'!$J$3:$J$14,'Ratings Chart Data'!$J$16:$J$21,'Ratings Chart Data'!$J$23:$J$27)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>
                  <c:v>1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>
                  <c:v>1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B-4BD6-B20E-F8CB1741FEE3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Data'!$I$3:$I$14,'Ratings Chart Data'!$I$16:$I$21,'Ratings Chart Data'!$I$23:$I$27)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0.33333333333333337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0.33333333333333337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311992"/>
        <c:axId val="213434864"/>
      </c:barChart>
      <c:barChart>
        <c:barDir val="bar"/>
        <c:grouping val="clustered"/>
        <c:varyColors val="0"/>
        <c:ser>
          <c:idx val="4"/>
          <c:order val="4"/>
          <c:tx>
            <c:v>Measured Values</c:v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Data'!$D$3:$D$14,'Ratings Chart Data'!$D$16:$D$21,'Ratings Chart Data'!$D$23:$D$27)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3548224"/>
        <c:axId val="212004600"/>
      </c:barChart>
      <c:catAx>
        <c:axId val="2133119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43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34864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311992"/>
        <c:crosses val="max"/>
        <c:crossBetween val="between"/>
        <c:majorUnit val="0.5"/>
      </c:valAx>
      <c:catAx>
        <c:axId val="2135482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212004600"/>
        <c:crosses val="autoZero"/>
        <c:auto val="1"/>
        <c:lblAlgn val="ctr"/>
        <c:lblOffset val="100"/>
        <c:noMultiLvlLbl val="0"/>
      </c:catAx>
      <c:valAx>
        <c:axId val="212004600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35482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2"/>
          <c:y val="0.96447666263939802"/>
          <c:w val="0.58318746520320719"/>
          <c:h val="2.2824924662195011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1"/>
  <sheetViews>
    <sheetView tabSelected="1"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0"/>
  <sheetViews>
    <sheetView zoomScale="8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0.07162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361" y="38433"/>
          <a:ext cx="6211112" cy="609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0.82943</cdr:x>
      <cdr:y>0.00532</cdr:y>
    </cdr:from>
    <cdr:to>
      <cdr:x>0.96189</cdr:x>
      <cdr:y>0.07021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33EC0806-95B2-4610-BE09-BD130630DE6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23510" y="48110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97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0.07051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291" y="38376"/>
          <a:ext cx="6200060" cy="5982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0.82935</cdr:x>
      <cdr:y>0.00477</cdr:y>
    </cdr:from>
    <cdr:to>
      <cdr:x>0.96204</cdr:x>
      <cdr:y>0.06976</cdr:y>
    </cdr:to>
    <cdr:pic>
      <cdr:nvPicPr>
        <cdr:cNvPr id="8" name="Picture 7">
          <a:extLst xmlns:a="http://schemas.openxmlformats.org/drawingml/2006/main">
            <a:ext uri="{FF2B5EF4-FFF2-40B4-BE49-F238E27FC236}">
              <a16:creationId xmlns:a16="http://schemas.microsoft.com/office/drawing/2014/main" id="{D8BB6ED9-959B-4189-BA31-DA09270E4B5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3684" y="43113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17409" name="Text Box 1">
          <a:extLst>
            <a:ext uri="{FF2B5EF4-FFF2-40B4-BE49-F238E27FC236}">
              <a16:creationId xmlns:a16="http://schemas.microsoft.com/office/drawing/2014/main" id="{00000000-0008-0000-0200-000001440000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1"/>
  <sheetViews>
    <sheetView zoomScaleNormal="100" workbookViewId="0"/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honeticPr fontId="2" type="noConversion"/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36"/>
  <sheetViews>
    <sheetView zoomScale="160" zoomScaleNormal="160" workbookViewId="0">
      <selection activeCell="B33" sqref="B33"/>
    </sheetView>
  </sheetViews>
  <sheetFormatPr defaultRowHeight="12"/>
  <cols>
    <col min="1" max="1" width="9.140625" style="51"/>
    <col min="2" max="2" width="29" style="51" customWidth="1"/>
    <col min="3" max="4" width="7.7109375" style="51" bestFit="1" customWidth="1"/>
    <col min="5" max="14" width="6.7109375" style="51" customWidth="1"/>
    <col min="15" max="16384" width="9.140625" style="51"/>
  </cols>
  <sheetData>
    <row r="1" spans="2:12">
      <c r="C1" s="158" t="s">
        <v>4</v>
      </c>
      <c r="D1" s="159"/>
      <c r="E1" s="54"/>
      <c r="F1" s="158" t="s">
        <v>50</v>
      </c>
      <c r="G1" s="160"/>
      <c r="H1" s="159"/>
      <c r="I1" s="158" t="s">
        <v>51</v>
      </c>
      <c r="J1" s="160"/>
      <c r="K1" s="159"/>
      <c r="L1" s="54"/>
    </row>
    <row r="2" spans="2:12" ht="36">
      <c r="C2" s="109" t="s">
        <v>52</v>
      </c>
      <c r="D2" s="109" t="s">
        <v>53</v>
      </c>
      <c r="E2" s="109" t="s">
        <v>54</v>
      </c>
      <c r="F2" s="95" t="s">
        <v>55</v>
      </c>
      <c r="G2" s="55" t="s">
        <v>56</v>
      </c>
      <c r="H2" s="53" t="s">
        <v>57</v>
      </c>
      <c r="I2" s="52" t="s">
        <v>55</v>
      </c>
      <c r="J2" s="55" t="s">
        <v>56</v>
      </c>
      <c r="K2" s="53" t="s">
        <v>57</v>
      </c>
      <c r="L2" s="56" t="s">
        <v>58</v>
      </c>
    </row>
    <row r="3" spans="2:12">
      <c r="B3" s="54" t="s">
        <v>10</v>
      </c>
      <c r="C3" s="54">
        <f>ABS('Summary Sheet'!D7)</f>
        <v>0</v>
      </c>
      <c r="D3" s="57">
        <f t="shared" ref="D3:D27" si="0">C3/F3</f>
        <v>0</v>
      </c>
      <c r="E3" s="54">
        <v>700</v>
      </c>
      <c r="F3" s="58">
        <v>560</v>
      </c>
      <c r="G3" s="58">
        <v>700</v>
      </c>
      <c r="H3" s="59">
        <v>840</v>
      </c>
      <c r="I3" s="60">
        <f t="shared" ref="I3:I27" si="1">F3/$F3</f>
        <v>1</v>
      </c>
      <c r="J3" s="60">
        <f t="shared" ref="J3:J27" si="2">G3/$F3</f>
        <v>1.25</v>
      </c>
      <c r="K3" s="60">
        <f t="shared" ref="K3:K27" si="3">H3/$F3</f>
        <v>1.5</v>
      </c>
      <c r="L3" s="57">
        <v>3</v>
      </c>
    </row>
    <row r="4" spans="2:12" ht="12.75">
      <c r="B4" s="25" t="s">
        <v>18</v>
      </c>
      <c r="C4" s="61">
        <f>'Summary Sheet'!D17</f>
        <v>0</v>
      </c>
      <c r="D4" s="62">
        <f t="shared" si="0"/>
        <v>0</v>
      </c>
      <c r="E4" s="61">
        <v>1</v>
      </c>
      <c r="F4" s="58">
        <v>0.8</v>
      </c>
      <c r="G4" s="58">
        <v>1</v>
      </c>
      <c r="H4" s="59">
        <v>1.2</v>
      </c>
      <c r="I4" s="60">
        <f t="shared" si="1"/>
        <v>1</v>
      </c>
      <c r="J4" s="63">
        <f t="shared" si="2"/>
        <v>1.25</v>
      </c>
      <c r="K4" s="64">
        <f t="shared" si="3"/>
        <v>1.4999999999999998</v>
      </c>
      <c r="L4" s="62">
        <v>3</v>
      </c>
    </row>
    <row r="5" spans="2:12" ht="12.75">
      <c r="B5" s="25" t="s">
        <v>19</v>
      </c>
      <c r="C5" s="61">
        <f>'Summary Sheet'!D18</f>
        <v>0</v>
      </c>
      <c r="D5" s="62">
        <f t="shared" si="0"/>
        <v>0</v>
      </c>
      <c r="E5" s="61">
        <v>1</v>
      </c>
      <c r="F5" s="58">
        <v>0.8</v>
      </c>
      <c r="G5" s="58">
        <v>1</v>
      </c>
      <c r="H5" s="59">
        <v>1.2</v>
      </c>
      <c r="I5" s="60">
        <f t="shared" si="1"/>
        <v>1</v>
      </c>
      <c r="J5" s="63">
        <f t="shared" si="2"/>
        <v>1.25</v>
      </c>
      <c r="K5" s="64">
        <f t="shared" si="3"/>
        <v>1.4999999999999998</v>
      </c>
      <c r="L5" s="62">
        <v>3</v>
      </c>
    </row>
    <row r="6" spans="2:12" ht="12.75">
      <c r="B6" s="25" t="s">
        <v>20</v>
      </c>
      <c r="C6" s="61">
        <f>'Summary Sheet'!D19</f>
        <v>0</v>
      </c>
      <c r="D6" s="62">
        <f t="shared" si="0"/>
        <v>0</v>
      </c>
      <c r="E6" s="61">
        <v>1</v>
      </c>
      <c r="F6" s="58">
        <v>0.8</v>
      </c>
      <c r="G6" s="58">
        <v>1</v>
      </c>
      <c r="H6" s="59">
        <v>1.2</v>
      </c>
      <c r="I6" s="60">
        <f t="shared" si="1"/>
        <v>1</v>
      </c>
      <c r="J6" s="63">
        <f t="shared" si="2"/>
        <v>1.25</v>
      </c>
      <c r="K6" s="64">
        <f t="shared" si="3"/>
        <v>1.4999999999999998</v>
      </c>
      <c r="L6" s="62">
        <v>3</v>
      </c>
    </row>
    <row r="7" spans="2:12" ht="12.75">
      <c r="B7" s="25" t="s">
        <v>21</v>
      </c>
      <c r="C7" s="61">
        <f>'Summary Sheet'!D20</f>
        <v>0</v>
      </c>
      <c r="D7" s="62">
        <f t="shared" si="0"/>
        <v>0</v>
      </c>
      <c r="E7" s="61">
        <v>1</v>
      </c>
      <c r="F7" s="58">
        <v>0.8</v>
      </c>
      <c r="G7" s="58">
        <v>1</v>
      </c>
      <c r="H7" s="59">
        <v>1.2</v>
      </c>
      <c r="I7" s="60">
        <f t="shared" si="1"/>
        <v>1</v>
      </c>
      <c r="J7" s="63">
        <f t="shared" si="2"/>
        <v>1.25</v>
      </c>
      <c r="K7" s="64">
        <f t="shared" si="3"/>
        <v>1.4999999999999998</v>
      </c>
      <c r="L7" s="62">
        <v>3</v>
      </c>
    </row>
    <row r="8" spans="2:12">
      <c r="B8" s="61" t="s">
        <v>59</v>
      </c>
      <c r="C8" s="61">
        <f>ABS('Summary Sheet'!D13)</f>
        <v>0</v>
      </c>
      <c r="D8" s="62">
        <f t="shared" si="0"/>
        <v>0</v>
      </c>
      <c r="E8" s="61">
        <v>4</v>
      </c>
      <c r="F8" s="58">
        <v>3.2</v>
      </c>
      <c r="G8" s="58">
        <v>4</v>
      </c>
      <c r="H8" s="59">
        <v>4.8</v>
      </c>
      <c r="I8" s="60">
        <f t="shared" si="1"/>
        <v>1</v>
      </c>
      <c r="J8" s="63">
        <f t="shared" si="2"/>
        <v>1.25</v>
      </c>
      <c r="K8" s="64">
        <f t="shared" si="3"/>
        <v>1.4999999999999998</v>
      </c>
      <c r="L8" s="62">
        <v>3</v>
      </c>
    </row>
    <row r="9" spans="2:12">
      <c r="B9" s="61" t="s">
        <v>60</v>
      </c>
      <c r="C9" s="61">
        <f>ABS('Summary Sheet'!D14)</f>
        <v>0</v>
      </c>
      <c r="D9" s="62">
        <f t="shared" si="0"/>
        <v>0</v>
      </c>
      <c r="E9" s="61">
        <v>3.3</v>
      </c>
      <c r="F9" s="58">
        <v>2.6</v>
      </c>
      <c r="G9" s="58">
        <v>3.3</v>
      </c>
      <c r="H9" s="59">
        <v>4</v>
      </c>
      <c r="I9" s="60">
        <f t="shared" si="1"/>
        <v>1</v>
      </c>
      <c r="J9" s="63">
        <f t="shared" si="2"/>
        <v>1.2692307692307692</v>
      </c>
      <c r="K9" s="64">
        <f t="shared" si="3"/>
        <v>1.5384615384615383</v>
      </c>
      <c r="L9" s="62">
        <v>3</v>
      </c>
    </row>
    <row r="10" spans="2:12">
      <c r="B10" s="54" t="s">
        <v>61</v>
      </c>
      <c r="C10" s="54">
        <f>ABS('Summary Sheet'!D21)</f>
        <v>0</v>
      </c>
      <c r="D10" s="57">
        <f t="shared" si="0"/>
        <v>0</v>
      </c>
      <c r="E10" s="54">
        <v>60</v>
      </c>
      <c r="F10" s="96">
        <v>60</v>
      </c>
      <c r="G10" s="96">
        <v>75</v>
      </c>
      <c r="H10" s="97">
        <v>90</v>
      </c>
      <c r="I10" s="98">
        <f t="shared" si="1"/>
        <v>1</v>
      </c>
      <c r="J10" s="99">
        <f t="shared" si="2"/>
        <v>1.25</v>
      </c>
      <c r="K10" s="100">
        <f t="shared" si="3"/>
        <v>1.5</v>
      </c>
      <c r="L10" s="57">
        <v>3</v>
      </c>
    </row>
    <row r="11" spans="2:12">
      <c r="B11" s="61" t="s">
        <v>62</v>
      </c>
      <c r="C11" s="61">
        <f>ABS('Summary Sheet'!D22)</f>
        <v>0</v>
      </c>
      <c r="D11" s="62">
        <f t="shared" si="0"/>
        <v>0</v>
      </c>
      <c r="E11" s="61">
        <v>50</v>
      </c>
      <c r="F11" s="58">
        <v>50</v>
      </c>
      <c r="G11" s="58">
        <v>60</v>
      </c>
      <c r="H11" s="59">
        <v>75</v>
      </c>
      <c r="I11" s="60">
        <f t="shared" si="1"/>
        <v>1</v>
      </c>
      <c r="J11" s="63">
        <f t="shared" si="2"/>
        <v>1.2</v>
      </c>
      <c r="K11" s="64">
        <f t="shared" si="3"/>
        <v>1.5</v>
      </c>
      <c r="L11" s="62">
        <v>3</v>
      </c>
    </row>
    <row r="12" spans="2:12">
      <c r="B12" s="61" t="s">
        <v>63</v>
      </c>
      <c r="C12" s="61">
        <f>ABS('Summary Sheet'!D24)</f>
        <v>0</v>
      </c>
      <c r="D12" s="62">
        <f t="shared" si="0"/>
        <v>0</v>
      </c>
      <c r="E12" s="61">
        <v>8.1999999999999993</v>
      </c>
      <c r="F12" s="58">
        <v>6.6</v>
      </c>
      <c r="G12" s="58">
        <v>8.1999999999999993</v>
      </c>
      <c r="H12" s="59">
        <v>9.8000000000000007</v>
      </c>
      <c r="I12" s="60">
        <f t="shared" si="1"/>
        <v>1</v>
      </c>
      <c r="J12" s="63">
        <f t="shared" si="2"/>
        <v>1.2424242424242424</v>
      </c>
      <c r="K12" s="64">
        <f t="shared" si="3"/>
        <v>1.4848484848484851</v>
      </c>
      <c r="L12" s="62">
        <v>3</v>
      </c>
    </row>
    <row r="13" spans="2:12">
      <c r="B13" s="66" t="s">
        <v>64</v>
      </c>
      <c r="C13" s="66">
        <f>ABS('Summary Sheet'!D23)</f>
        <v>0</v>
      </c>
      <c r="D13" s="67">
        <f t="shared" si="0"/>
        <v>0</v>
      </c>
      <c r="E13" s="66">
        <v>1</v>
      </c>
      <c r="F13" s="104">
        <v>0.8</v>
      </c>
      <c r="G13" s="104">
        <v>1</v>
      </c>
      <c r="H13" s="108">
        <v>1.2</v>
      </c>
      <c r="I13" s="94">
        <f t="shared" si="1"/>
        <v>1</v>
      </c>
      <c r="J13" s="105">
        <f t="shared" si="2"/>
        <v>1.25</v>
      </c>
      <c r="K13" s="107">
        <f t="shared" si="3"/>
        <v>1.4999999999999998</v>
      </c>
      <c r="L13" s="67">
        <v>3</v>
      </c>
    </row>
    <row r="14" spans="2:12">
      <c r="B14" s="54" t="s">
        <v>83</v>
      </c>
      <c r="C14" s="54">
        <f>ABS('Summary Sheet'!D27)</f>
        <v>0</v>
      </c>
      <c r="D14" s="57">
        <f>C14/G14</f>
        <v>0</v>
      </c>
      <c r="E14" s="54"/>
      <c r="F14" s="99">
        <v>0.05</v>
      </c>
      <c r="G14" s="99">
        <v>0.15</v>
      </c>
      <c r="H14" s="100">
        <v>0.25</v>
      </c>
      <c r="I14" s="98">
        <f>F14/$G$14</f>
        <v>0.33333333333333337</v>
      </c>
      <c r="J14" s="99">
        <f>G14/$G$14</f>
        <v>1</v>
      </c>
      <c r="K14" s="100">
        <f>H14/$G$14</f>
        <v>1.6666666666666667</v>
      </c>
      <c r="L14" s="106">
        <v>3</v>
      </c>
    </row>
    <row r="15" spans="2:12">
      <c r="B15" s="61" t="s">
        <v>85</v>
      </c>
      <c r="C15" s="61">
        <f>ABS(LeftFemurF)</f>
        <v>0</v>
      </c>
      <c r="D15" s="62">
        <f>C15/F15</f>
        <v>0</v>
      </c>
      <c r="E15" s="61">
        <v>9.1</v>
      </c>
      <c r="F15" s="112">
        <v>7.3</v>
      </c>
      <c r="G15" s="110">
        <v>9.1</v>
      </c>
      <c r="H15" s="111">
        <v>10.9</v>
      </c>
      <c r="I15" s="112">
        <f>F15/$F15</f>
        <v>1</v>
      </c>
      <c r="J15" s="110">
        <f>G15/$F15</f>
        <v>1.2465753424657533</v>
      </c>
      <c r="K15" s="111">
        <f>H15/$F15</f>
        <v>1.493150684931507</v>
      </c>
      <c r="L15" s="113">
        <v>3</v>
      </c>
    </row>
    <row r="16" spans="2:12">
      <c r="B16" s="61" t="s">
        <v>65</v>
      </c>
      <c r="C16" s="65">
        <f>ABS('Summary Sheet'!D29)</f>
        <v>0</v>
      </c>
      <c r="D16" s="62">
        <f t="shared" si="0"/>
        <v>0</v>
      </c>
      <c r="E16" s="61">
        <v>15</v>
      </c>
      <c r="F16" s="58">
        <v>12</v>
      </c>
      <c r="G16" s="58">
        <v>15</v>
      </c>
      <c r="H16" s="59">
        <v>18</v>
      </c>
      <c r="I16" s="60">
        <f t="shared" si="1"/>
        <v>1</v>
      </c>
      <c r="J16" s="63">
        <f t="shared" si="2"/>
        <v>1.25</v>
      </c>
      <c r="K16" s="64">
        <f t="shared" si="3"/>
        <v>1.5</v>
      </c>
      <c r="L16" s="62">
        <v>3</v>
      </c>
    </row>
    <row r="17" spans="2:12">
      <c r="B17" s="61" t="s">
        <v>31</v>
      </c>
      <c r="C17" s="61">
        <f>ABS('Summary Sheet'!D33)</f>
        <v>0</v>
      </c>
      <c r="D17" s="62">
        <f t="shared" si="0"/>
        <v>0</v>
      </c>
      <c r="E17" s="61">
        <v>1</v>
      </c>
      <c r="F17" s="58">
        <v>0.8</v>
      </c>
      <c r="G17" s="58">
        <v>1</v>
      </c>
      <c r="H17" s="59">
        <v>1.2</v>
      </c>
      <c r="I17" s="60">
        <f t="shared" si="1"/>
        <v>1</v>
      </c>
      <c r="J17" s="63">
        <f t="shared" si="2"/>
        <v>1.25</v>
      </c>
      <c r="K17" s="64">
        <f t="shared" si="3"/>
        <v>1.4999999999999998</v>
      </c>
      <c r="L17" s="62">
        <v>3</v>
      </c>
    </row>
    <row r="18" spans="2:12">
      <c r="B18" s="61" t="s">
        <v>34</v>
      </c>
      <c r="C18" s="61">
        <f>ABS('Summary Sheet'!D38)</f>
        <v>0</v>
      </c>
      <c r="D18" s="62">
        <f t="shared" si="0"/>
        <v>0</v>
      </c>
      <c r="E18" s="61">
        <v>1</v>
      </c>
      <c r="F18" s="58">
        <v>0.8</v>
      </c>
      <c r="G18" s="58">
        <v>1</v>
      </c>
      <c r="H18" s="59">
        <v>1.2</v>
      </c>
      <c r="I18" s="60">
        <f t="shared" si="1"/>
        <v>1</v>
      </c>
      <c r="J18" s="63">
        <f t="shared" si="2"/>
        <v>1.25</v>
      </c>
      <c r="K18" s="64">
        <f t="shared" si="3"/>
        <v>1.4999999999999998</v>
      </c>
      <c r="L18" s="62">
        <v>3</v>
      </c>
    </row>
    <row r="19" spans="2:12">
      <c r="B19" s="61" t="s">
        <v>66</v>
      </c>
      <c r="C19" s="61">
        <f>ABS('Summary Sheet'!D37)</f>
        <v>0</v>
      </c>
      <c r="D19" s="62">
        <f t="shared" si="0"/>
        <v>0</v>
      </c>
      <c r="E19" s="61">
        <v>8</v>
      </c>
      <c r="F19" s="58">
        <v>4</v>
      </c>
      <c r="G19" s="58">
        <v>6</v>
      </c>
      <c r="H19" s="59">
        <v>8</v>
      </c>
      <c r="I19" s="60">
        <f t="shared" si="1"/>
        <v>1</v>
      </c>
      <c r="J19" s="63">
        <f t="shared" si="2"/>
        <v>1.5</v>
      </c>
      <c r="K19" s="64">
        <f t="shared" si="3"/>
        <v>2</v>
      </c>
      <c r="L19" s="62">
        <v>3</v>
      </c>
    </row>
    <row r="20" spans="2:12">
      <c r="B20" s="66" t="s">
        <v>67</v>
      </c>
      <c r="C20" s="66">
        <f>ABS('Summary Sheet'!D41)</f>
        <v>0</v>
      </c>
      <c r="D20" s="67">
        <f t="shared" si="0"/>
        <v>0</v>
      </c>
      <c r="E20" s="66">
        <v>150</v>
      </c>
      <c r="F20" s="104">
        <v>150</v>
      </c>
      <c r="G20" s="104">
        <v>200</v>
      </c>
      <c r="H20" s="104">
        <v>260</v>
      </c>
      <c r="I20" s="105">
        <f t="shared" si="1"/>
        <v>1</v>
      </c>
      <c r="J20" s="105">
        <f t="shared" si="2"/>
        <v>1.3333333333333333</v>
      </c>
      <c r="K20" s="105">
        <f t="shared" si="3"/>
        <v>1.7333333333333334</v>
      </c>
      <c r="L20" s="107">
        <v>3</v>
      </c>
    </row>
    <row r="21" spans="2:12">
      <c r="B21" s="54" t="s">
        <v>84</v>
      </c>
      <c r="C21" s="54">
        <f>ABS('Summary Sheet'!D44)</f>
        <v>0</v>
      </c>
      <c r="D21" s="57">
        <f>C21/G21</f>
        <v>0</v>
      </c>
      <c r="E21" s="54"/>
      <c r="F21" s="99">
        <f>F14</f>
        <v>0.05</v>
      </c>
      <c r="G21" s="99">
        <f>G14</f>
        <v>0.15</v>
      </c>
      <c r="H21" s="99">
        <f>H14</f>
        <v>0.25</v>
      </c>
      <c r="I21" s="98">
        <f>F21/$G$14</f>
        <v>0.33333333333333337</v>
      </c>
      <c r="J21" s="99">
        <f>G21/$G$14</f>
        <v>1</v>
      </c>
      <c r="K21" s="99">
        <f>H21/$G$14</f>
        <v>1.6666666666666667</v>
      </c>
      <c r="L21" s="103">
        <v>3</v>
      </c>
    </row>
    <row r="22" spans="2:12">
      <c r="B22" s="61" t="s">
        <v>86</v>
      </c>
      <c r="C22" s="61">
        <f>ABS('Summary Sheet'!D42)</f>
        <v>0</v>
      </c>
      <c r="D22" s="62">
        <f>C22/F22</f>
        <v>0</v>
      </c>
      <c r="E22" s="61">
        <v>9.1</v>
      </c>
      <c r="F22" s="112">
        <v>7.3</v>
      </c>
      <c r="G22" s="110">
        <v>9.1</v>
      </c>
      <c r="H22" s="111">
        <v>10.9</v>
      </c>
      <c r="I22" s="112">
        <f>F22/$F22</f>
        <v>1</v>
      </c>
      <c r="J22" s="110">
        <f>G22/$F22</f>
        <v>1.2465753424657533</v>
      </c>
      <c r="K22" s="111">
        <f>H22/$F22</f>
        <v>1.493150684931507</v>
      </c>
      <c r="L22" s="113">
        <v>3</v>
      </c>
    </row>
    <row r="23" spans="2:12">
      <c r="B23" s="61" t="s">
        <v>68</v>
      </c>
      <c r="C23" s="61">
        <f>ABS('Summary Sheet'!D46)</f>
        <v>0</v>
      </c>
      <c r="D23" s="62">
        <f t="shared" si="0"/>
        <v>0</v>
      </c>
      <c r="E23" s="61">
        <v>15</v>
      </c>
      <c r="F23" s="58">
        <v>12</v>
      </c>
      <c r="G23" s="58">
        <v>15</v>
      </c>
      <c r="H23" s="58">
        <v>18</v>
      </c>
      <c r="I23" s="63">
        <f t="shared" si="1"/>
        <v>1</v>
      </c>
      <c r="J23" s="63">
        <f t="shared" si="2"/>
        <v>1.25</v>
      </c>
      <c r="K23" s="63">
        <f t="shared" si="3"/>
        <v>1.5</v>
      </c>
      <c r="L23" s="64">
        <v>3</v>
      </c>
    </row>
    <row r="24" spans="2:12">
      <c r="B24" s="61" t="s">
        <v>40</v>
      </c>
      <c r="C24" s="61">
        <f>ABS('Summary Sheet'!D50)</f>
        <v>0</v>
      </c>
      <c r="D24" s="62">
        <f t="shared" si="0"/>
        <v>0</v>
      </c>
      <c r="E24" s="61">
        <v>1</v>
      </c>
      <c r="F24" s="58">
        <v>0.8</v>
      </c>
      <c r="G24" s="58">
        <v>1</v>
      </c>
      <c r="H24" s="58">
        <v>1.2</v>
      </c>
      <c r="I24" s="63">
        <f t="shared" si="1"/>
        <v>1</v>
      </c>
      <c r="J24" s="63">
        <f t="shared" si="2"/>
        <v>1.25</v>
      </c>
      <c r="K24" s="63">
        <f t="shared" si="3"/>
        <v>1.4999999999999998</v>
      </c>
      <c r="L24" s="64">
        <v>3</v>
      </c>
    </row>
    <row r="25" spans="2:12">
      <c r="B25" s="61" t="s">
        <v>43</v>
      </c>
      <c r="C25" s="61">
        <f>ABS('Summary Sheet'!D55)</f>
        <v>0</v>
      </c>
      <c r="D25" s="62">
        <f t="shared" si="0"/>
        <v>0</v>
      </c>
      <c r="E25" s="61">
        <v>1</v>
      </c>
      <c r="F25" s="58">
        <v>0.8</v>
      </c>
      <c r="G25" s="58">
        <v>1</v>
      </c>
      <c r="H25" s="58">
        <v>1.2</v>
      </c>
      <c r="I25" s="63">
        <f t="shared" si="1"/>
        <v>1</v>
      </c>
      <c r="J25" s="63">
        <f t="shared" si="2"/>
        <v>1.25</v>
      </c>
      <c r="K25" s="63">
        <f t="shared" si="3"/>
        <v>1.4999999999999998</v>
      </c>
      <c r="L25" s="64">
        <v>3</v>
      </c>
    </row>
    <row r="26" spans="2:12">
      <c r="B26" s="61" t="s">
        <v>69</v>
      </c>
      <c r="C26" s="61">
        <f>ABS('Summary Sheet'!D54)</f>
        <v>0</v>
      </c>
      <c r="D26" s="62">
        <f t="shared" si="0"/>
        <v>0</v>
      </c>
      <c r="E26" s="61">
        <v>8</v>
      </c>
      <c r="F26" s="58">
        <v>4</v>
      </c>
      <c r="G26" s="58">
        <v>6</v>
      </c>
      <c r="H26" s="58">
        <v>8</v>
      </c>
      <c r="I26" s="63">
        <f t="shared" si="1"/>
        <v>1</v>
      </c>
      <c r="J26" s="63">
        <f t="shared" si="2"/>
        <v>1.5</v>
      </c>
      <c r="K26" s="63">
        <f t="shared" si="3"/>
        <v>2</v>
      </c>
      <c r="L26" s="64">
        <v>3</v>
      </c>
    </row>
    <row r="27" spans="2:12">
      <c r="B27" s="66" t="s">
        <v>70</v>
      </c>
      <c r="C27" s="66">
        <f>ABS('Summary Sheet'!D58)</f>
        <v>0</v>
      </c>
      <c r="D27" s="67">
        <f t="shared" si="0"/>
        <v>0</v>
      </c>
      <c r="E27" s="66">
        <v>150</v>
      </c>
      <c r="F27" s="101">
        <v>150</v>
      </c>
      <c r="G27" s="101">
        <v>200</v>
      </c>
      <c r="H27" s="101">
        <v>260</v>
      </c>
      <c r="I27" s="101">
        <f t="shared" si="1"/>
        <v>1</v>
      </c>
      <c r="J27" s="101">
        <f t="shared" si="2"/>
        <v>1.3333333333333333</v>
      </c>
      <c r="K27" s="101">
        <f t="shared" si="3"/>
        <v>1.7333333333333334</v>
      </c>
      <c r="L27" s="102">
        <v>3</v>
      </c>
    </row>
    <row r="29" spans="2:12" ht="4.5" customHeight="1">
      <c r="B29" s="58"/>
      <c r="C29" s="58"/>
      <c r="D29" s="63"/>
      <c r="E29" s="58"/>
      <c r="F29" s="58"/>
      <c r="G29" s="58"/>
      <c r="H29" s="58"/>
      <c r="I29" s="63"/>
      <c r="J29" s="63"/>
      <c r="K29" s="63"/>
      <c r="L29" s="63"/>
    </row>
    <row r="30" spans="2:12">
      <c r="F30" s="158" t="s">
        <v>71</v>
      </c>
      <c r="G30" s="159"/>
      <c r="H30" s="68"/>
    </row>
    <row r="31" spans="2:12">
      <c r="B31" s="69" t="s">
        <v>72</v>
      </c>
      <c r="C31" s="69">
        <f>ABS('Summary Sheet'!D11)</f>
        <v>0</v>
      </c>
      <c r="D31" s="70">
        <f>C31/E31</f>
        <v>0</v>
      </c>
      <c r="E31" s="69">
        <v>3.1</v>
      </c>
      <c r="F31" s="71">
        <v>3</v>
      </c>
      <c r="G31" s="72">
        <v>1</v>
      </c>
    </row>
    <row r="35" spans="2:2">
      <c r="B35" s="76" t="s">
        <v>73</v>
      </c>
    </row>
    <row r="36" spans="2:2">
      <c r="B36" s="77" t="e">
        <f ca="1">RIGHT(LEFT(CELL("filename"),FIND("Frontal Crash Tests\",CELL("filename"))+26),7)</f>
        <v>#N/A</v>
      </c>
    </row>
  </sheetData>
  <mergeCells count="4">
    <mergeCell ref="F30:G30"/>
    <mergeCell ref="I1:K1"/>
    <mergeCell ref="F1:H1"/>
    <mergeCell ref="C1:D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3"/>
  <sheetViews>
    <sheetView topLeftCell="A16" zoomScale="145" zoomScaleNormal="145" workbookViewId="0">
      <selection activeCell="B22" sqref="B22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2" ht="22.5" customHeight="1" thickBot="1">
      <c r="A1" s="122" t="s">
        <v>98</v>
      </c>
      <c r="B1" s="129"/>
    </row>
    <row r="2" spans="1:2">
      <c r="A2" s="127" t="s">
        <v>87</v>
      </c>
      <c r="B2" s="141"/>
    </row>
    <row r="3" spans="1:2" ht="13.5" thickBot="1">
      <c r="A3" s="128" t="s">
        <v>130</v>
      </c>
      <c r="B3" s="142"/>
    </row>
    <row r="4" spans="1:2" ht="22.5" customHeight="1" thickBot="1"/>
    <row r="5" spans="1:2" ht="15" customHeight="1" thickBot="1">
      <c r="A5" s="122" t="s">
        <v>89</v>
      </c>
      <c r="B5" s="123" t="s">
        <v>88</v>
      </c>
    </row>
    <row r="6" spans="1:2" ht="15" customHeight="1">
      <c r="A6" s="120" t="s">
        <v>90</v>
      </c>
      <c r="B6" s="141"/>
    </row>
    <row r="7" spans="1:2" ht="15" customHeight="1">
      <c r="A7" s="120" t="s">
        <v>91</v>
      </c>
      <c r="B7" s="141"/>
    </row>
    <row r="8" spans="1:2" ht="15" customHeight="1">
      <c r="A8" s="120" t="s">
        <v>92</v>
      </c>
      <c r="B8" s="141"/>
    </row>
    <row r="9" spans="1:2" ht="15" customHeight="1">
      <c r="A9" s="120" t="s">
        <v>93</v>
      </c>
      <c r="B9" s="141"/>
    </row>
    <row r="10" spans="1:2" ht="15" customHeight="1">
      <c r="A10" s="120" t="s">
        <v>94</v>
      </c>
      <c r="B10" s="141"/>
    </row>
    <row r="11" spans="1:2" ht="15" customHeight="1">
      <c r="A11" s="120" t="s">
        <v>95</v>
      </c>
      <c r="B11" s="141"/>
    </row>
    <row r="12" spans="1:2" ht="22.5" customHeight="1" thickBot="1">
      <c r="A12" s="121" t="s">
        <v>96</v>
      </c>
      <c r="B12" s="142"/>
    </row>
    <row r="13" spans="1:2" ht="15" customHeight="1" thickBot="1">
      <c r="A13" s="126" t="s">
        <v>97</v>
      </c>
      <c r="B13" s="123" t="s">
        <v>88</v>
      </c>
    </row>
    <row r="14" spans="1:2" ht="15" customHeight="1">
      <c r="A14" s="156"/>
      <c r="B14" s="145"/>
    </row>
    <row r="15" spans="1:2" ht="15" customHeight="1">
      <c r="A15" s="143"/>
      <c r="B15" s="141"/>
    </row>
    <row r="16" spans="1:2" ht="15" customHeight="1">
      <c r="A16" s="143"/>
      <c r="B16" s="141"/>
    </row>
    <row r="17" spans="1:6">
      <c r="A17" s="124"/>
      <c r="B17" s="157"/>
    </row>
    <row r="18" spans="1:6">
      <c r="A18" s="143"/>
      <c r="B18" s="141"/>
    </row>
    <row r="19" spans="1:6" ht="13.5" thickBot="1">
      <c r="A19" s="144"/>
      <c r="B19" s="142"/>
    </row>
    <row r="20" spans="1:6" ht="13.5" thickBot="1"/>
    <row r="21" spans="1:6" ht="13.5" thickBot="1">
      <c r="A21" s="122" t="s">
        <v>99</v>
      </c>
      <c r="B21" s="129"/>
    </row>
    <row r="22" spans="1:6">
      <c r="A22" s="139" t="s">
        <v>145</v>
      </c>
      <c r="B22" s="145"/>
      <c r="C22" s="130" t="s">
        <v>148</v>
      </c>
      <c r="F22" s="130"/>
    </row>
    <row r="23" spans="1:6">
      <c r="A23" s="124" t="s">
        <v>146</v>
      </c>
      <c r="B23" s="141"/>
      <c r="C23" s="130" t="s">
        <v>148</v>
      </c>
      <c r="F23" s="130"/>
    </row>
    <row r="24" spans="1:6" ht="13.5" thickBot="1">
      <c r="A24" s="125" t="s">
        <v>147</v>
      </c>
      <c r="B24" s="142"/>
      <c r="C24" s="130" t="s">
        <v>148</v>
      </c>
      <c r="F24" s="130"/>
    </row>
    <row r="25" spans="1:6" ht="13.5" thickBot="1"/>
    <row r="26" spans="1:6" ht="13.5" thickBot="1">
      <c r="A26" s="122" t="s">
        <v>104</v>
      </c>
      <c r="B26" s="134" t="s">
        <v>100</v>
      </c>
      <c r="C26" s="135" t="s">
        <v>88</v>
      </c>
    </row>
    <row r="27" spans="1:6">
      <c r="A27" s="131" t="s">
        <v>105</v>
      </c>
      <c r="B27" s="146"/>
      <c r="C27" s="147"/>
    </row>
    <row r="28" spans="1:6">
      <c r="A28" s="132" t="s">
        <v>101</v>
      </c>
      <c r="B28" s="146"/>
      <c r="C28" s="147"/>
    </row>
    <row r="29" spans="1:6">
      <c r="A29" s="132" t="s">
        <v>102</v>
      </c>
      <c r="B29" s="146"/>
      <c r="C29" s="147"/>
    </row>
    <row r="30" spans="1:6" ht="13.5" thickBot="1">
      <c r="A30" s="133" t="s">
        <v>103</v>
      </c>
      <c r="B30" s="148"/>
      <c r="C30" s="140"/>
    </row>
    <row r="31" spans="1:6" ht="13.5" thickBot="1"/>
    <row r="32" spans="1:6" ht="13.5" thickBot="1">
      <c r="A32" s="122" t="s">
        <v>106</v>
      </c>
      <c r="B32" s="135" t="s">
        <v>119</v>
      </c>
    </row>
    <row r="33" spans="1:3">
      <c r="A33" s="136" t="s">
        <v>118</v>
      </c>
      <c r="B33" s="149"/>
      <c r="C33" s="130" t="s">
        <v>122</v>
      </c>
    </row>
    <row r="34" spans="1:3">
      <c r="A34" s="136" t="s">
        <v>107</v>
      </c>
      <c r="B34" s="149"/>
    </row>
    <row r="35" spans="1:3">
      <c r="A35" s="136" t="s">
        <v>108</v>
      </c>
      <c r="B35" s="149"/>
    </row>
    <row r="36" spans="1:3">
      <c r="A36" s="136" t="s">
        <v>109</v>
      </c>
      <c r="B36" s="149"/>
    </row>
    <row r="37" spans="1:3">
      <c r="A37" s="136" t="s">
        <v>120</v>
      </c>
      <c r="B37" s="149"/>
      <c r="C37" s="130" t="s">
        <v>121</v>
      </c>
    </row>
    <row r="38" spans="1:3">
      <c r="A38" s="136" t="s">
        <v>110</v>
      </c>
      <c r="B38" s="149"/>
    </row>
    <row r="39" spans="1:3">
      <c r="A39" s="136" t="s">
        <v>111</v>
      </c>
      <c r="B39" s="149"/>
    </row>
    <row r="40" spans="1:3">
      <c r="A40" s="136" t="s">
        <v>112</v>
      </c>
      <c r="B40" s="149"/>
    </row>
    <row r="41" spans="1:3">
      <c r="A41" s="136" t="s">
        <v>113</v>
      </c>
      <c r="B41" s="149"/>
    </row>
    <row r="42" spans="1:3">
      <c r="A42" s="136" t="s">
        <v>114</v>
      </c>
      <c r="B42" s="149"/>
    </row>
    <row r="43" spans="1:3">
      <c r="A43" s="136" t="s">
        <v>115</v>
      </c>
      <c r="B43" s="149"/>
    </row>
    <row r="44" spans="1:3">
      <c r="A44" s="136" t="s">
        <v>116</v>
      </c>
      <c r="B44" s="149"/>
    </row>
    <row r="45" spans="1:3">
      <c r="A45" s="136" t="s">
        <v>117</v>
      </c>
      <c r="B45" s="149"/>
    </row>
    <row r="46" spans="1:3">
      <c r="A46" s="137" t="s">
        <v>123</v>
      </c>
      <c r="B46" s="141"/>
    </row>
    <row r="47" spans="1:3" ht="13.5" thickBot="1">
      <c r="A47" s="138" t="s">
        <v>124</v>
      </c>
      <c r="B47" s="142"/>
    </row>
    <row r="48" spans="1:3" ht="13.5" thickBot="1"/>
    <row r="49" spans="1:2" ht="13.5" thickBot="1">
      <c r="A49" s="122" t="s">
        <v>125</v>
      </c>
      <c r="B49" s="129"/>
    </row>
    <row r="50" spans="1:2">
      <c r="A50" s="137" t="s">
        <v>126</v>
      </c>
      <c r="B50" s="141"/>
    </row>
    <row r="51" spans="1:2">
      <c r="A51" s="137" t="s">
        <v>127</v>
      </c>
      <c r="B51" s="141"/>
    </row>
    <row r="52" spans="1:2">
      <c r="A52" s="137" t="s">
        <v>128</v>
      </c>
      <c r="B52" s="141"/>
    </row>
    <row r="53" spans="1:2" ht="13.5" thickBot="1">
      <c r="A53" s="138" t="s">
        <v>129</v>
      </c>
      <c r="B53" s="14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workbookViewId="0">
      <selection activeCell="B25" sqref="B25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3" ht="22.5" customHeight="1" thickBot="1">
      <c r="A1" s="122" t="s">
        <v>98</v>
      </c>
      <c r="B1" s="129"/>
    </row>
    <row r="2" spans="1:3">
      <c r="A2" s="127" t="s">
        <v>87</v>
      </c>
      <c r="B2" s="141"/>
    </row>
    <row r="3" spans="1:3" ht="13.5" thickBot="1">
      <c r="A3" s="128" t="s">
        <v>130</v>
      </c>
      <c r="B3" s="142"/>
    </row>
    <row r="4" spans="1:3" ht="22.5" customHeight="1" thickBot="1"/>
    <row r="5" spans="1:3" ht="15" customHeight="1" thickBot="1">
      <c r="A5" s="122" t="s">
        <v>89</v>
      </c>
      <c r="B5" s="123" t="s">
        <v>88</v>
      </c>
    </row>
    <row r="6" spans="1:3" ht="15" customHeight="1">
      <c r="A6" s="152" t="s">
        <v>90</v>
      </c>
      <c r="B6" s="153"/>
    </row>
    <row r="7" spans="1:3" ht="15" customHeight="1">
      <c r="A7" s="120" t="s">
        <v>91</v>
      </c>
      <c r="B7" s="141"/>
    </row>
    <row r="8" spans="1:3" ht="15" customHeight="1">
      <c r="A8" s="120" t="s">
        <v>149</v>
      </c>
      <c r="B8" s="141"/>
    </row>
    <row r="9" spans="1:3" ht="15" customHeight="1">
      <c r="A9" s="120" t="s">
        <v>94</v>
      </c>
      <c r="B9" s="141"/>
    </row>
    <row r="10" spans="1:3" ht="15" customHeight="1">
      <c r="A10" s="120" t="s">
        <v>95</v>
      </c>
      <c r="B10" s="141"/>
    </row>
    <row r="11" spans="1:3" ht="15" customHeight="1">
      <c r="A11" s="120" t="s">
        <v>96</v>
      </c>
      <c r="B11" s="141"/>
    </row>
    <row r="12" spans="1:3" ht="15" customHeight="1" thickBot="1">
      <c r="A12" s="121" t="s">
        <v>152</v>
      </c>
      <c r="B12" s="142"/>
    </row>
    <row r="13" spans="1:3" ht="22.5" customHeight="1" thickBot="1">
      <c r="B13" s="150"/>
      <c r="C13" s="151"/>
    </row>
    <row r="14" spans="1:3" ht="15" customHeight="1" thickBot="1">
      <c r="A14" s="122" t="s">
        <v>99</v>
      </c>
      <c r="B14" s="129"/>
    </row>
    <row r="15" spans="1:3" ht="15" customHeight="1">
      <c r="A15" s="139" t="s">
        <v>145</v>
      </c>
      <c r="B15" s="145"/>
      <c r="C15" s="130" t="s">
        <v>148</v>
      </c>
    </row>
    <row r="16" spans="1:3" ht="15" customHeight="1">
      <c r="A16" s="124" t="s">
        <v>146</v>
      </c>
      <c r="B16" s="141"/>
      <c r="C16" s="130" t="s">
        <v>148</v>
      </c>
    </row>
    <row r="17" spans="1:3" ht="15" customHeight="1" thickBot="1">
      <c r="A17" s="125" t="s">
        <v>147</v>
      </c>
      <c r="B17" s="142"/>
      <c r="C17" s="130" t="s">
        <v>148</v>
      </c>
    </row>
    <row r="18" spans="1:3" ht="22.5" customHeight="1" thickBot="1"/>
    <row r="19" spans="1:3" ht="13.5" thickBot="1">
      <c r="A19" s="126" t="s">
        <v>97</v>
      </c>
      <c r="B19" s="123" t="s">
        <v>88</v>
      </c>
    </row>
    <row r="20" spans="1:3">
      <c r="A20" s="156"/>
      <c r="B20" s="145"/>
    </row>
    <row r="21" spans="1:3">
      <c r="A21" s="143"/>
      <c r="B21" s="141"/>
    </row>
    <row r="22" spans="1:3">
      <c r="A22" s="143"/>
      <c r="B22" s="141"/>
    </row>
    <row r="23" spans="1:3">
      <c r="A23" s="124"/>
      <c r="B23" s="157"/>
    </row>
    <row r="24" spans="1:3">
      <c r="A24" s="143"/>
      <c r="B24" s="141"/>
    </row>
    <row r="25" spans="1:3" ht="13.5" thickBot="1">
      <c r="A25" s="144"/>
      <c r="B25" s="142"/>
    </row>
    <row r="26" spans="1:3" ht="13.5" thickBot="1"/>
    <row r="27" spans="1:3" ht="13.5" thickBot="1">
      <c r="A27" s="122" t="s">
        <v>125</v>
      </c>
      <c r="B27" s="129"/>
    </row>
    <row r="28" spans="1:3">
      <c r="A28" s="137" t="s">
        <v>126</v>
      </c>
      <c r="B28" s="141"/>
    </row>
    <row r="29" spans="1:3">
      <c r="A29" s="137" t="s">
        <v>151</v>
      </c>
      <c r="B29" s="141"/>
    </row>
    <row r="30" spans="1:3" ht="13.5" thickBot="1">
      <c r="A30" s="138" t="s">
        <v>150</v>
      </c>
      <c r="B30" s="1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203</vt:i4>
      </vt:variant>
    </vt:vector>
  </HeadingPairs>
  <TitlesOfParts>
    <vt:vector size="209" baseType="lpstr">
      <vt:lpstr>Summary Sheet</vt:lpstr>
      <vt:lpstr>Ratings Chart Data</vt:lpstr>
      <vt:lpstr>Crash Analysis</vt:lpstr>
      <vt:lpstr>Film Analysis</vt:lpstr>
      <vt:lpstr>Ratings Chart MO</vt:lpstr>
      <vt:lpstr>Ratings Chart SO</vt:lpstr>
      <vt:lpstr>_HIC15</vt:lpstr>
      <vt:lpstr>_HIC36</vt:lpstr>
      <vt:lpstr>AIRBAG_BOTTOMING</vt:lpstr>
      <vt:lpstr>AIRBAG_BOTTOMING_MO</vt:lpstr>
      <vt:lpstr>Airbag_contacts_face_t</vt:lpstr>
      <vt:lpstr>Airbag_contacts_face_t_MO</vt:lpstr>
      <vt:lpstr>Airbag_fully_deployed_t</vt:lpstr>
      <vt:lpstr>Airbag_fully_deployed_t_MO</vt:lpstr>
      <vt:lpstr>Airbag_interaction</vt:lpstr>
      <vt:lpstr>ARSX</vt:lpstr>
      <vt:lpstr>ARSX_t</vt:lpstr>
      <vt:lpstr>ARSY</vt:lpstr>
      <vt:lpstr>ARSY_t</vt:lpstr>
      <vt:lpstr>ARSZ</vt:lpstr>
      <vt:lpstr>ARSZ_t</vt:lpstr>
      <vt:lpstr>Belt_tensioner_deploy_t</vt:lpstr>
      <vt:lpstr>Belt_tensioner_deploy_t_MO</vt:lpstr>
      <vt:lpstr>burn_risk</vt:lpstr>
      <vt:lpstr>Channel_Comments</vt:lpstr>
      <vt:lpstr>Channel_Comments_MO</vt:lpstr>
      <vt:lpstr>ChestD</vt:lpstr>
      <vt:lpstr>ChestD_t</vt:lpstr>
      <vt:lpstr>CLRG</vt:lpstr>
      <vt:lpstr>CLRG_t</vt:lpstr>
      <vt:lpstr>CLXG</vt:lpstr>
      <vt:lpstr>CLXG_t</vt:lpstr>
      <vt:lpstr>CLYG</vt:lpstr>
      <vt:lpstr>CLYG_t</vt:lpstr>
      <vt:lpstr>CLZG</vt:lpstr>
      <vt:lpstr>CLZG_t</vt:lpstr>
      <vt:lpstr>CorridorOutput</vt:lpstr>
      <vt:lpstr>createDate</vt:lpstr>
      <vt:lpstr>Curtain_airbag_deploy_t</vt:lpstr>
      <vt:lpstr>Curtain_airbag_deploy_t_MO</vt:lpstr>
      <vt:lpstr>Curtain_coverage</vt:lpstr>
      <vt:lpstr>Description_MO</vt:lpstr>
      <vt:lpstr>door_opening</vt:lpstr>
      <vt:lpstr>Dummy_damage</vt:lpstr>
      <vt:lpstr>Dummy_damage_MO</vt:lpstr>
      <vt:lpstr>excessive_forward_excursion</vt:lpstr>
      <vt:lpstr>excessive_head_lateral</vt:lpstr>
      <vt:lpstr>Excursion_mm</vt:lpstr>
      <vt:lpstr>Face_loads_frontAB_t</vt:lpstr>
      <vt:lpstr>Face_loads_frontAB_t_MO</vt:lpstr>
      <vt:lpstr>FolderName</vt:lpstr>
      <vt:lpstr>Front_airbag_deploy_t</vt:lpstr>
      <vt:lpstr>Front_airbag_deploy_t_MO</vt:lpstr>
      <vt:lpstr>HEAD_OTHER_HARD_CONTACT</vt:lpstr>
      <vt:lpstr>HEAD_OTHER_HARD_CONTACT_MO</vt:lpstr>
      <vt:lpstr>HeadRG</vt:lpstr>
      <vt:lpstr>HeadRG_t</vt:lpstr>
      <vt:lpstr>HeadRG3ms</vt:lpstr>
      <vt:lpstr>HeadRG3ms_t1</vt:lpstr>
      <vt:lpstr>HeadRG3ms_t2</vt:lpstr>
      <vt:lpstr>HIC15_t1</vt:lpstr>
      <vt:lpstr>HIC15_t2</vt:lpstr>
      <vt:lpstr>HIC36_t1</vt:lpstr>
      <vt:lpstr>HIC36_t2</vt:lpstr>
      <vt:lpstr>HN_INJURY_DOWNGRADE</vt:lpstr>
      <vt:lpstr>HN_INJURY_DOWNGRADE_MO</vt:lpstr>
      <vt:lpstr>iihsTestId</vt:lpstr>
      <vt:lpstr>impact_speed</vt:lpstr>
      <vt:lpstr>impact_speed_MO</vt:lpstr>
      <vt:lpstr>impactSpeed</vt:lpstr>
      <vt:lpstr>initial_spoolout_mm</vt:lpstr>
      <vt:lpstr>initial_spoolout_t</vt:lpstr>
      <vt:lpstr>late_or_no_airbag</vt:lpstr>
      <vt:lpstr>LateralNeckForce</vt:lpstr>
      <vt:lpstr>LateralNeckForce_t</vt:lpstr>
      <vt:lpstr>LeftFemurF</vt:lpstr>
      <vt:lpstr>LeftFemurF_t</vt:lpstr>
      <vt:lpstr>LeftFemurImpulse</vt:lpstr>
      <vt:lpstr>LeftFootAPG</vt:lpstr>
      <vt:lpstr>LeftFootAPG_t</vt:lpstr>
      <vt:lpstr>LeftFootISG</vt:lpstr>
      <vt:lpstr>LeftFootISG_t</vt:lpstr>
      <vt:lpstr>LeftFootRG</vt:lpstr>
      <vt:lpstr>LeftFootRG_t</vt:lpstr>
      <vt:lpstr>LeftKneeD</vt:lpstr>
      <vt:lpstr>LeftKneeD_t</vt:lpstr>
      <vt:lpstr>LeftKTHInjuryLocation</vt:lpstr>
      <vt:lpstr>LeftKTHRisk</vt:lpstr>
      <vt:lpstr>LeftLowerTibiaAPM</vt:lpstr>
      <vt:lpstr>LeftLowerTibiaAPM_t</vt:lpstr>
      <vt:lpstr>LeftLowerTibiaIndex</vt:lpstr>
      <vt:lpstr>LeftLowerTibiaIndex_t</vt:lpstr>
      <vt:lpstr>LeftLowerTibiaLMM</vt:lpstr>
      <vt:lpstr>LeftLowerTibiaLMM_t</vt:lpstr>
      <vt:lpstr>LeftLowerTibiaRM</vt:lpstr>
      <vt:lpstr>LeftLowerTibiaRM_t</vt:lpstr>
      <vt:lpstr>LeftLowerTibiaZF</vt:lpstr>
      <vt:lpstr>LeftLowerTibiaZF_t</vt:lpstr>
      <vt:lpstr>LeftUpperTibiaAPM</vt:lpstr>
      <vt:lpstr>LeftUpperTibiaAPM_t</vt:lpstr>
      <vt:lpstr>LeftUpperTibiaIndex</vt:lpstr>
      <vt:lpstr>LeftUpperTibiaIndex_t</vt:lpstr>
      <vt:lpstr>LeftUpperTibiaLMM</vt:lpstr>
      <vt:lpstr>LeftUpperTibiaLMM_t</vt:lpstr>
      <vt:lpstr>LeftUpperTibiaRM</vt:lpstr>
      <vt:lpstr>LeftUpperTibiaRM_t</vt:lpstr>
      <vt:lpstr>multiple_hard_contacts</vt:lpstr>
      <vt:lpstr>NeckAPShear</vt:lpstr>
      <vt:lpstr>NeckAPShear_t</vt:lpstr>
      <vt:lpstr>NeckCompression</vt:lpstr>
      <vt:lpstr>NeckCompression_t</vt:lpstr>
      <vt:lpstr>NeckExtension</vt:lpstr>
      <vt:lpstr>NeckExtension_t</vt:lpstr>
      <vt:lpstr>NeckFlexion</vt:lpstr>
      <vt:lpstr>NeckFlexion_t</vt:lpstr>
      <vt:lpstr>NeckTension</vt:lpstr>
      <vt:lpstr>NeckTension_t</vt:lpstr>
      <vt:lpstr>Net_spoolout_mm</vt:lpstr>
      <vt:lpstr>Net_spoolout_t</vt:lpstr>
      <vt:lpstr>Nij_CE</vt:lpstr>
      <vt:lpstr>Nij_CE_t</vt:lpstr>
      <vt:lpstr>Nij_CF</vt:lpstr>
      <vt:lpstr>Nij_CF_t</vt:lpstr>
      <vt:lpstr>Nij_TE</vt:lpstr>
      <vt:lpstr>Nij_TE_t</vt:lpstr>
      <vt:lpstr>Nij_TF</vt:lpstr>
      <vt:lpstr>Nij_TF_t</vt:lpstr>
      <vt:lpstr>Other_demerit</vt:lpstr>
      <vt:lpstr>Other_demerit_desc</vt:lpstr>
      <vt:lpstr>Other_event_1</vt:lpstr>
      <vt:lpstr>Other_event_1_MO</vt:lpstr>
      <vt:lpstr>Other_event_1_t</vt:lpstr>
      <vt:lpstr>Other_event_1_t_MO</vt:lpstr>
      <vt:lpstr>Other_event_2</vt:lpstr>
      <vt:lpstr>Other_event_2_MO</vt:lpstr>
      <vt:lpstr>Other_event_2_t</vt:lpstr>
      <vt:lpstr>Other_event_2_t_MO</vt:lpstr>
      <vt:lpstr>Other_event_3</vt:lpstr>
      <vt:lpstr>Other_event_3_MO</vt:lpstr>
      <vt:lpstr>Other_event_3_t</vt:lpstr>
      <vt:lpstr>Other_event_3_t_MO</vt:lpstr>
      <vt:lpstr>Other_event_4</vt:lpstr>
      <vt:lpstr>Other_event_4_MO</vt:lpstr>
      <vt:lpstr>Other_event_4_t</vt:lpstr>
      <vt:lpstr>Other_event_4_t_MO</vt:lpstr>
      <vt:lpstr>Other_event_5</vt:lpstr>
      <vt:lpstr>Other_event_5_MO</vt:lpstr>
      <vt:lpstr>Other_event_5_t</vt:lpstr>
      <vt:lpstr>Other_event_5_t_MO</vt:lpstr>
      <vt:lpstr>Other_event_6</vt:lpstr>
      <vt:lpstr>Other_event_6_MO</vt:lpstr>
      <vt:lpstr>Other_event_6_t</vt:lpstr>
      <vt:lpstr>Other_event_6_t_MO</vt:lpstr>
      <vt:lpstr>OTHER_HEAD_HARD_CONTACT</vt:lpstr>
      <vt:lpstr>overlap</vt:lpstr>
      <vt:lpstr>overlap_MO</vt:lpstr>
      <vt:lpstr>Passenger_airbag_deploy_t_MO</vt:lpstr>
      <vt:lpstr>'Summary Sheet'!Print_Area</vt:lpstr>
      <vt:lpstr>Retraction_mm</vt:lpstr>
      <vt:lpstr>Retraction_t</vt:lpstr>
      <vt:lpstr>RightFemurF</vt:lpstr>
      <vt:lpstr>RightFemurF_t</vt:lpstr>
      <vt:lpstr>RightFemurImpulse</vt:lpstr>
      <vt:lpstr>RightFootAPG</vt:lpstr>
      <vt:lpstr>RightFootAPG_t</vt:lpstr>
      <vt:lpstr>RightFootISG</vt:lpstr>
      <vt:lpstr>RightFootISG_t</vt:lpstr>
      <vt:lpstr>RightFootRG</vt:lpstr>
      <vt:lpstr>RightFootRG_t</vt:lpstr>
      <vt:lpstr>RightKneeD</vt:lpstr>
      <vt:lpstr>RightKneeD_t</vt:lpstr>
      <vt:lpstr>RightKTHInjuryLocation</vt:lpstr>
      <vt:lpstr>RightKTHRisk</vt:lpstr>
      <vt:lpstr>RightLowerTibiaAPM</vt:lpstr>
      <vt:lpstr>RightLowerTibiaAPM_t</vt:lpstr>
      <vt:lpstr>RightLowerTibiaIndex</vt:lpstr>
      <vt:lpstr>RightLowerTibiaIndex_t</vt:lpstr>
      <vt:lpstr>RightLowerTibiaLMM</vt:lpstr>
      <vt:lpstr>RightLowerTibiaLMM_t</vt:lpstr>
      <vt:lpstr>RightLowerTibiaRM</vt:lpstr>
      <vt:lpstr>RightLowerTibiaRM_t</vt:lpstr>
      <vt:lpstr>RightLowerTibiaZF</vt:lpstr>
      <vt:lpstr>RightLowerTibiaZF_t</vt:lpstr>
      <vt:lpstr>RightUpperTibiaAPM</vt:lpstr>
      <vt:lpstr>RightUpperTibiaAPM_t</vt:lpstr>
      <vt:lpstr>RightUpperTibiaIndex</vt:lpstr>
      <vt:lpstr>RightUpperTibiaIndex_t</vt:lpstr>
      <vt:lpstr>RightUpperTibiaLMM</vt:lpstr>
      <vt:lpstr>RightUpperTibiaLMM_t</vt:lpstr>
      <vt:lpstr>RightUpperTibiaRM</vt:lpstr>
      <vt:lpstr>RightUpperTibiaRM_t</vt:lpstr>
      <vt:lpstr>RK_comments</vt:lpstr>
      <vt:lpstr>seat_attach_failure</vt:lpstr>
      <vt:lpstr>seat_instability</vt:lpstr>
      <vt:lpstr>SternumDeflectionRate</vt:lpstr>
      <vt:lpstr>SternumDeflectionRate_t</vt:lpstr>
      <vt:lpstr>structure_comments</vt:lpstr>
      <vt:lpstr>SW_lateral_over10</vt:lpstr>
      <vt:lpstr>SW_lateral_over15</vt:lpstr>
      <vt:lpstr>SW_vertical_over10</vt:lpstr>
      <vt:lpstr>testDate</vt:lpstr>
      <vt:lpstr>testDescription</vt:lpstr>
      <vt:lpstr>ThoraxG3ms</vt:lpstr>
      <vt:lpstr>ThoraxG3ms_t1</vt:lpstr>
      <vt:lpstr>ThoraxG3ms_t2</vt:lpstr>
      <vt:lpstr>Torso_airbag_deploy_t</vt:lpstr>
      <vt:lpstr>VC</vt:lpstr>
      <vt:lpstr>VC_t</vt:lpstr>
      <vt:lpstr>vehicleDescription</vt:lpstr>
    </vt:vector>
  </TitlesOfParts>
  <Company>IIHS/HLDI/VRC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RArbelaez</dc:creator>
  <cp:lastModifiedBy>Drew Brethwaite</cp:lastModifiedBy>
  <cp:lastPrinted>2012-09-11T01:26:59Z</cp:lastPrinted>
  <dcterms:created xsi:type="dcterms:W3CDTF">2003-08-22T14:19:30Z</dcterms:created>
  <dcterms:modified xsi:type="dcterms:W3CDTF">2017-03-27T19:38:40Z</dcterms:modified>
</cp:coreProperties>
</file>