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Summary Sheet" sheetId="4" r:id="rId3"/>
    <sheet name="Ratings Chart Data" sheetId="6" state="hidden" r:id="rId4"/>
    <sheet name="Crash Analysis" sheetId="11" r:id="rId5"/>
    <sheet name="Film Analysis" sheetId="12" r:id="rId6"/>
  </sheets>
  <functionGroups builtInGroupCount="18"/>
  <definedNames>
    <definedName name="_HIC15">'Summary Sheet'!$D$7</definedName>
    <definedName name="_HIC36">'Summary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>'Summary Sheet'!$D$8</definedName>
    <definedName name="ARSX_t">'Summary Sheet'!$E$8</definedName>
    <definedName name="ARSY">'Summary Sheet'!$D$9</definedName>
    <definedName name="ARSY_t">'Summary Sheet'!$E$9</definedName>
    <definedName name="ARSZ">'Summary Sheet'!$D$10</definedName>
    <definedName name="ARSZ_t">'Summary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annel_locations">#REF!</definedName>
    <definedName name="Channel_measure">#REF!</definedName>
    <definedName name="ChestD">'Summary Sheet'!$D$22</definedName>
    <definedName name="ChestD_t">'Summary Sheet'!$E$22</definedName>
    <definedName name="CLRG">'Summary Sheet'!$D$59</definedName>
    <definedName name="CLRG_t">'Summary Sheet'!$E$59</definedName>
    <definedName name="CLXG">'Summary Sheet'!$D$60</definedName>
    <definedName name="CLXG_t">'Summary Sheet'!$E$60</definedName>
    <definedName name="CLYG">'Summary Sheet'!$D$61</definedName>
    <definedName name="CLYG_t">'Summary Sheet'!$E$61</definedName>
    <definedName name="CLZG">'Summary Sheet'!$D$62</definedName>
    <definedName name="CLZG_t">'Summary Sheet'!$E$62</definedName>
    <definedName name="Contact_1">'Crash Analysis'!#REF!</definedName>
    <definedName name="Contact_1_g">'Crash Analysis'!#REF!</definedName>
    <definedName name="Contact_1_severity">'Crash Analysis'!#REF!</definedName>
    <definedName name="Contact_1_t">'Crash Analysis'!#REF!</definedName>
    <definedName name="Contact_2">'Crash Analysis'!#REF!</definedName>
    <definedName name="Contact_2_g">'Crash Analysis'!#REF!</definedName>
    <definedName name="Contact_2_severity">'Crash Analysis'!#REF!</definedName>
    <definedName name="Contact_2_t">'Crash Analysis'!#REF!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>'Crash Analysis'!#REF!</definedName>
    <definedName name="Head_hard_contact_3ms_t1">'Crash Analysis'!#REF!</definedName>
    <definedName name="Head_hard_contact_3ms_t2">'Crash Analysis'!#REF!</definedName>
    <definedName name="Head_hard_contact_3ms2">'Crash Analysis'!#REF!</definedName>
    <definedName name="Head_hard_contact_3ms2_t1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>'Summary Sheet'!$D$4</definedName>
    <definedName name="HeadRG_t">'Summary Sheet'!$E$4</definedName>
    <definedName name="HeadRG3ms">'Summary Sheet'!$D$5</definedName>
    <definedName name="HeadRG3ms_t1">'Summary Sheet'!$E$5</definedName>
    <definedName name="HeadRG3ms_t2">'Summary Sheet'!$F$5</definedName>
    <definedName name="HIC15_t1">'Summary Sheet'!$E$7</definedName>
    <definedName name="HIC15_t2">'Summary Sheet'!$F$7</definedName>
    <definedName name="HIC36_t1">'Summary Sheet'!$E$6</definedName>
    <definedName name="HIC36_t2">'Summary Sheet'!$F$6</definedName>
    <definedName name="HN_INJURY_DOWNGRADE">'Crash Analysis'!$B$22</definedName>
    <definedName name="HN_INJURY_DOWNGRADE_MO">'Film Analysis'!$B$15</definedName>
    <definedName name="impact_speed">'Crash Analysis'!$B$2</definedName>
    <definedName name="impact_speed_MO">'Film Analysis'!$B$2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>'Summary Sheet'!$D$12</definedName>
    <definedName name="LateralNeckForce_t">'Summary Sheet'!$E$12</definedName>
    <definedName name="LeftFemurF">'Summary Sheet'!$D$25</definedName>
    <definedName name="LeftFemurF_t">'Summary Sheet'!$E$25</definedName>
    <definedName name="LeftFemurImpulse">'Summary Sheet'!$D$26</definedName>
    <definedName name="LeftFootAPG">'Summary Sheet'!$D$39</definedName>
    <definedName name="LeftFootAPG_t">'Summary Sheet'!$E$39</definedName>
    <definedName name="LeftFootISG">'Summary Sheet'!$D$40</definedName>
    <definedName name="LeftFootISG_t">'Summary Sheet'!$E$40</definedName>
    <definedName name="LeftFootRG">'Summary Sheet'!$D$41</definedName>
    <definedName name="LeftFootRG_t">'Summary Sheet'!$E$41</definedName>
    <definedName name="LeftKneeD">'Summary Sheet'!$D$29</definedName>
    <definedName name="LeftKneeD_t">'Summary Sheet'!$E$29</definedName>
    <definedName name="LeftKTHInjuryLocation">'Summary Sheet'!$D$28</definedName>
    <definedName name="LeftKTHRisk">'Summary Sheet'!$D$27</definedName>
    <definedName name="LeftLowerTibiaAPM">'Summary Sheet'!$D$35</definedName>
    <definedName name="LeftLowerTibiaAPM_t">'Summary Sheet'!$E$35</definedName>
    <definedName name="LeftLowerTibiaIndex">'Summary Sheet'!$D$38</definedName>
    <definedName name="LeftLowerTibiaIndex_t">'Summary Sheet'!$E$38</definedName>
    <definedName name="LeftLowerTibiaLMM">'Summary Sheet'!$D$34</definedName>
    <definedName name="LeftLowerTibiaLMM_t">'Summary Sheet'!$E$34</definedName>
    <definedName name="LeftLowerTibiaRM">'Summary Sheet'!$D$36</definedName>
    <definedName name="LeftLowerTibiaRM_t">'Summary Sheet'!$E$36</definedName>
    <definedName name="LeftLowerTibiaZF">'Summary Sheet'!$D$37</definedName>
    <definedName name="LeftLowerTibiaZF_t">'Summary Sheet'!$E$37</definedName>
    <definedName name="LeftUpperTibiaAPM">'Summary Sheet'!$D$31</definedName>
    <definedName name="LeftUpperTibiaAPM_t">'Summary Sheet'!$E$31</definedName>
    <definedName name="LeftUpperTibiaIndex">'Summary Sheet'!$D$33</definedName>
    <definedName name="LeftUpperTibiaIndex_t">'Summary Sheet'!$E$33</definedName>
    <definedName name="LeftUpperTibiaLMM">'Summary Sheet'!$D$30</definedName>
    <definedName name="LeftUpperTibiaLMM_t">'Summary Sheet'!$E$30</definedName>
    <definedName name="LeftUpperTibiaRM">'Summary Sheet'!$D$32</definedName>
    <definedName name="LeftUpperTibiaRM_t">'Summary Sheet'!$E$32</definedName>
    <definedName name="multiple_hard_contacts">'Crash Analysis'!$B$35</definedName>
    <definedName name="NeckAPShear">'Summary Sheet'!$D$11</definedName>
    <definedName name="NeckAPShear_t">'Summary Sheet'!$E$11</definedName>
    <definedName name="NeckCompression">'Summary Sheet'!$D$13</definedName>
    <definedName name="NeckCompression_t">'Summary Sheet'!$E$13</definedName>
    <definedName name="NeckExtension">'Summary Sheet'!$D$16</definedName>
    <definedName name="NeckExtension_t">'Summary Sheet'!$E$16</definedName>
    <definedName name="NeckFlexion">'Summary Sheet'!$D$15</definedName>
    <definedName name="NeckFlexion_t">'Summary Sheet'!$E$15</definedName>
    <definedName name="NeckTension">'Summary Sheet'!$D$14</definedName>
    <definedName name="NeckTension_t">'Summary Sheet'!$E$14</definedName>
    <definedName name="Net_spoolout_mm">'Crash Analysis'!$B$29</definedName>
    <definedName name="Net_spoolout_t">'Crash Analysis'!$C$29</definedName>
    <definedName name="Nij_CE">'Summary Sheet'!$D$19</definedName>
    <definedName name="Nij_CE_t">'Summary Sheet'!$E$19</definedName>
    <definedName name="Nij_CF">'Summary Sheet'!$D$20</definedName>
    <definedName name="Nij_CF_t">'Summary Sheet'!$E$20</definedName>
    <definedName name="Nij_TE">'Summary Sheet'!$D$17</definedName>
    <definedName name="Nij_TE_t">'Summary Sheet'!$E$17</definedName>
    <definedName name="Nij_TF">'Summary Sheet'!$D$18</definedName>
    <definedName name="Nij_TF_t">'Summary Sheet'!$E$18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'Summary Sheet'!$A$1:$F$66</definedName>
    <definedName name="Retraction_mm">'Crash Analysis'!$B$28</definedName>
    <definedName name="Retraction_t">'Crash Analysis'!$C$28</definedName>
    <definedName name="RightFemurF">'Summary Sheet'!$D$42</definedName>
    <definedName name="RightFemurF_t">'Summary Sheet'!$E$42</definedName>
    <definedName name="RightFemurImpulse">'Summary Sheet'!$D$43</definedName>
    <definedName name="RightFootAPG">'Summary Sheet'!$D$56</definedName>
    <definedName name="RightFootAPG_t">'Summary Sheet'!$E$56</definedName>
    <definedName name="RightFootISG">'Summary Sheet'!$D$57</definedName>
    <definedName name="RightFootISG_t">'Summary Sheet'!$E$57</definedName>
    <definedName name="RightFootRG">'Summary Sheet'!$D$58</definedName>
    <definedName name="RightFootRG_t">'Summary Sheet'!$E$58</definedName>
    <definedName name="RightKneeD">'Summary Sheet'!$D$46</definedName>
    <definedName name="RightKneeD_t">'Summary Sheet'!$E$46</definedName>
    <definedName name="RightKTHInjuryLocation">'Summary Sheet'!$D$45</definedName>
    <definedName name="RightKTHRisk">'Summary Sheet'!$D$44</definedName>
    <definedName name="RightLowerTibiaAPM">'Summary Sheet'!$D$52</definedName>
    <definedName name="RightLowerTibiaAPM_t">'Summary Sheet'!$E$52</definedName>
    <definedName name="RightLowerTibiaIndex">'Summary Sheet'!$D$55</definedName>
    <definedName name="RightLowerTibiaIndex_t">'Summary Sheet'!$E$55</definedName>
    <definedName name="RightLowerTibiaLMM">'Summary Sheet'!$D$51</definedName>
    <definedName name="RightLowerTibiaLMM_t">'Summary Sheet'!$E$51</definedName>
    <definedName name="RightLowerTibiaRM">'Summary Sheet'!$D$53</definedName>
    <definedName name="RightLowerTibiaRM_t">'Summary Sheet'!$E$53</definedName>
    <definedName name="RightLowerTibiaZF">'Summary Sheet'!$D$54</definedName>
    <definedName name="RightLowerTibiaZF_t">'Summary Sheet'!$E$54</definedName>
    <definedName name="RightUpperTibiaAPM">'Summary Sheet'!$D$48</definedName>
    <definedName name="RightUpperTibiaAPM_t">'Summary Sheet'!$E$48</definedName>
    <definedName name="RightUpperTibiaIndex">'Summary Sheet'!$D$50</definedName>
    <definedName name="RightUpperTibiaIndex_t">'Summary Sheet'!$E$50</definedName>
    <definedName name="RightUpperTibiaLMM">'Summary Sheet'!$D$47</definedName>
    <definedName name="RightUpperTibiaLMM_t">'Summary Sheet'!$E$47</definedName>
    <definedName name="RightUpperTibiaRM">'Summary Sheet'!$D$49</definedName>
    <definedName name="RightUpperTibiaRM_t">'Summary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>'Summary Sheet'!$D$24</definedName>
    <definedName name="SternumDeflectionRate_t">'Summary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horaxG3ms">'Summary Sheet'!$D$21</definedName>
    <definedName name="ThoraxG3ms_t1">'Summary Sheet'!$E$21</definedName>
    <definedName name="ThoraxG3ms_t2">'Summary Sheet'!$F$21</definedName>
    <definedName name="Torso_airbag_deploy_t">'Crash Analysis'!$B$9</definedName>
    <definedName name="VC">'Summary Sheet'!$D$23</definedName>
    <definedName name="VC_t">'Summary Sheet'!$E$23</definedName>
  </definedNames>
  <calcPr calcId="162913"/>
</workbook>
</file>

<file path=xl/calcChain.xml><?xml version="1.0" encoding="utf-8"?>
<calcChain xmlns="http://schemas.openxmlformats.org/spreadsheetml/2006/main">
  <c r="B36" i="6" l="1"/>
  <c r="C31" i="6"/>
  <c r="D31" i="6" s="1"/>
  <c r="K27" i="6"/>
  <c r="J27" i="6"/>
  <c r="I27" i="6"/>
  <c r="C27" i="6"/>
  <c r="D27" i="6" s="1"/>
  <c r="K26" i="6"/>
  <c r="J26" i="6"/>
  <c r="I26" i="6"/>
  <c r="C26" i="6"/>
  <c r="D26" i="6" s="1"/>
  <c r="K25" i="6"/>
  <c r="J25" i="6"/>
  <c r="I25" i="6"/>
  <c r="D25" i="6"/>
  <c r="C25" i="6"/>
  <c r="K24" i="6"/>
  <c r="J24" i="6"/>
  <c r="I24" i="6"/>
  <c r="C24" i="6"/>
  <c r="D24" i="6" s="1"/>
  <c r="K23" i="6"/>
  <c r="J23" i="6"/>
  <c r="I23" i="6"/>
  <c r="C23" i="6"/>
  <c r="D23" i="6" s="1"/>
  <c r="K22" i="6"/>
  <c r="J22" i="6"/>
  <c r="I22" i="6"/>
  <c r="C22" i="6"/>
  <c r="D22" i="6" s="1"/>
  <c r="J21" i="6"/>
  <c r="I21" i="6"/>
  <c r="H21" i="6"/>
  <c r="K21" i="6" s="1"/>
  <c r="G21" i="6"/>
  <c r="F21" i="6"/>
  <c r="C21" i="6"/>
  <c r="D21" i="6" s="1"/>
  <c r="K20" i="6"/>
  <c r="J20" i="6"/>
  <c r="I20" i="6"/>
  <c r="D20" i="6"/>
  <c r="C20" i="6"/>
  <c r="K19" i="6"/>
  <c r="J19" i="6"/>
  <c r="I19" i="6"/>
  <c r="C19" i="6"/>
  <c r="D19" i="6" s="1"/>
  <c r="K18" i="6"/>
  <c r="J18" i="6"/>
  <c r="I18" i="6"/>
  <c r="C18" i="6"/>
  <c r="D18" i="6" s="1"/>
  <c r="K17" i="6"/>
  <c r="J17" i="6"/>
  <c r="I17" i="6"/>
  <c r="D17" i="6"/>
  <c r="C17" i="6"/>
  <c r="K16" i="6"/>
  <c r="J16" i="6"/>
  <c r="I16" i="6"/>
  <c r="D16" i="6"/>
  <c r="C16" i="6"/>
  <c r="K15" i="6"/>
  <c r="J15" i="6"/>
  <c r="I15" i="6"/>
  <c r="C15" i="6"/>
  <c r="D15" i="6" s="1"/>
  <c r="K14" i="6"/>
  <c r="J14" i="6"/>
  <c r="I14" i="6"/>
  <c r="D14" i="6"/>
  <c r="C14" i="6"/>
  <c r="K13" i="6"/>
  <c r="J13" i="6"/>
  <c r="I13" i="6"/>
  <c r="C13" i="6"/>
  <c r="D13" i="6" s="1"/>
  <c r="K12" i="6"/>
  <c r="J12" i="6"/>
  <c r="I12" i="6"/>
  <c r="D12" i="6"/>
  <c r="C12" i="6"/>
  <c r="K11" i="6"/>
  <c r="J11" i="6"/>
  <c r="I11" i="6"/>
  <c r="C11" i="6"/>
  <c r="D11" i="6" s="1"/>
  <c r="K10" i="6"/>
  <c r="J10" i="6"/>
  <c r="I10" i="6"/>
  <c r="C10" i="6"/>
  <c r="D10" i="6" s="1"/>
  <c r="K9" i="6"/>
  <c r="J9" i="6"/>
  <c r="I9" i="6"/>
  <c r="D9" i="6"/>
  <c r="C9" i="6"/>
  <c r="K8" i="6"/>
  <c r="J8" i="6"/>
  <c r="I8" i="6"/>
  <c r="D8" i="6"/>
  <c r="C8" i="6"/>
  <c r="K7" i="6"/>
  <c r="J7" i="6"/>
  <c r="I7" i="6"/>
  <c r="C7" i="6"/>
  <c r="D7" i="6" s="1"/>
  <c r="K6" i="6"/>
  <c r="J6" i="6"/>
  <c r="I6" i="6"/>
  <c r="D6" i="6"/>
  <c r="C6" i="6"/>
  <c r="K5" i="6"/>
  <c r="J5" i="6"/>
  <c r="I5" i="6"/>
  <c r="C5" i="6"/>
  <c r="D5" i="6" s="1"/>
  <c r="K4" i="6"/>
  <c r="J4" i="6"/>
  <c r="I4" i="6"/>
  <c r="D4" i="6"/>
  <c r="C4" i="6"/>
  <c r="K3" i="6"/>
  <c r="J3" i="6"/>
  <c r="I3" i="6"/>
  <c r="C3" i="6"/>
  <c r="D3" i="6" s="1"/>
</calcChain>
</file>

<file path=xl/sharedStrings.xml><?xml version="1.0" encoding="utf-8"?>
<sst xmlns="http://schemas.openxmlformats.org/spreadsheetml/2006/main" count="202" uniqueCount="156">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</sst>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1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Data'!$J$3:$J$13,'Ratings Chart Data'!$J$15:$J$20,'Ratings Chart Data'!$J$22:$J$27)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Data'!$I$3:$I$13,'Ratings Chart Data'!$I$15:$I$20,'Ratings Chart Data'!$I$22:$I$27)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8318746520320708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Data'!$J$3:$J$14,'Ratings Chart Data'!$J$16:$J$21,'Ratings Chart Data'!$J$23:$J$27)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Data'!$I$3:$I$14,'Ratings Chart Data'!$I$16:$I$21,'Ratings Chart Data'!$I$23:$I$27)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Measured Values</c:v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8318746520320719"/>
          <c:h val="2.2824924662195011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8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97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>
      <selection activeCell="J13" sqref="J13"/>
    </sheetView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36"/>
  <sheetViews>
    <sheetView zoomScale="160" zoomScaleNormal="160" workbookViewId="0">
      <selection activeCell="B33" sqref="B33"/>
    </sheetView>
  </sheetViews>
  <sheetFormatPr defaultRowHeight="12"/>
  <cols>
    <col min="1" max="1" width="9.140625" style="51"/>
    <col min="2" max="2" width="29" style="51" customWidth="1"/>
    <col min="3" max="4" width="7.7109375" style="51" bestFit="1" customWidth="1"/>
    <col min="5" max="14" width="6.7109375" style="51" customWidth="1"/>
    <col min="15" max="16384" width="9.140625" style="51"/>
  </cols>
  <sheetData>
    <row r="1" spans="2:12">
      <c r="C1" s="158" t="s">
        <v>4</v>
      </c>
      <c r="D1" s="159"/>
      <c r="E1" s="54"/>
      <c r="F1" s="158" t="s">
        <v>50</v>
      </c>
      <c r="G1" s="160"/>
      <c r="H1" s="159"/>
      <c r="I1" s="158" t="s">
        <v>51</v>
      </c>
      <c r="J1" s="160"/>
      <c r="K1" s="159"/>
      <c r="L1" s="54"/>
    </row>
    <row r="2" spans="2:12" ht="36">
      <c r="C2" s="109" t="s">
        <v>52</v>
      </c>
      <c r="D2" s="109" t="s">
        <v>53</v>
      </c>
      <c r="E2" s="109" t="s">
        <v>54</v>
      </c>
      <c r="F2" s="95" t="s">
        <v>55</v>
      </c>
      <c r="G2" s="55" t="s">
        <v>56</v>
      </c>
      <c r="H2" s="53" t="s">
        <v>57</v>
      </c>
      <c r="I2" s="52" t="s">
        <v>55</v>
      </c>
      <c r="J2" s="55" t="s">
        <v>56</v>
      </c>
      <c r="K2" s="53" t="s">
        <v>57</v>
      </c>
      <c r="L2" s="56" t="s">
        <v>58</v>
      </c>
    </row>
    <row r="3" spans="2:12">
      <c r="B3" s="54" t="s">
        <v>10</v>
      </c>
      <c r="C3" s="54">
        <f>ABS('Summary Sheet'!D7)</f>
        <v>0</v>
      </c>
      <c r="D3" s="57">
        <f t="shared" ref="D3:D27" si="0">C3/F3</f>
        <v>0</v>
      </c>
      <c r="E3" s="54">
        <v>700</v>
      </c>
      <c r="F3" s="58">
        <v>560</v>
      </c>
      <c r="G3" s="58">
        <v>700</v>
      </c>
      <c r="H3" s="59">
        <v>840</v>
      </c>
      <c r="I3" s="60">
        <f t="shared" ref="I3:I27" si="1">F3/$F3</f>
        <v>1</v>
      </c>
      <c r="J3" s="60">
        <f t="shared" ref="J3:J27" si="2">G3/$F3</f>
        <v>1.25</v>
      </c>
      <c r="K3" s="60">
        <f t="shared" ref="K3:K27" si="3">H3/$F3</f>
        <v>1.5</v>
      </c>
      <c r="L3" s="57">
        <v>3</v>
      </c>
    </row>
    <row r="4" spans="2:12" ht="12.75">
      <c r="B4" s="25" t="s">
        <v>18</v>
      </c>
      <c r="C4" s="61">
        <f>'Summary Sheet'!D17</f>
        <v>0</v>
      </c>
      <c r="D4" s="62">
        <f t="shared" si="0"/>
        <v>0</v>
      </c>
      <c r="E4" s="61">
        <v>1</v>
      </c>
      <c r="F4" s="58">
        <v>0.8</v>
      </c>
      <c r="G4" s="58">
        <v>1</v>
      </c>
      <c r="H4" s="59">
        <v>1.2</v>
      </c>
      <c r="I4" s="60">
        <f t="shared" si="1"/>
        <v>1</v>
      </c>
      <c r="J4" s="63">
        <f t="shared" si="2"/>
        <v>1.25</v>
      </c>
      <c r="K4" s="64">
        <f t="shared" si="3"/>
        <v>1.4999999999999998</v>
      </c>
      <c r="L4" s="62">
        <v>3</v>
      </c>
    </row>
    <row r="5" spans="2:12" ht="12.75">
      <c r="B5" s="25" t="s">
        <v>19</v>
      </c>
      <c r="C5" s="61">
        <f>'Summary Sheet'!D18</f>
        <v>0</v>
      </c>
      <c r="D5" s="62">
        <f t="shared" si="0"/>
        <v>0</v>
      </c>
      <c r="E5" s="61">
        <v>1</v>
      </c>
      <c r="F5" s="58">
        <v>0.8</v>
      </c>
      <c r="G5" s="58">
        <v>1</v>
      </c>
      <c r="H5" s="59">
        <v>1.2</v>
      </c>
      <c r="I5" s="60">
        <f t="shared" si="1"/>
        <v>1</v>
      </c>
      <c r="J5" s="63">
        <f t="shared" si="2"/>
        <v>1.25</v>
      </c>
      <c r="K5" s="64">
        <f t="shared" si="3"/>
        <v>1.4999999999999998</v>
      </c>
      <c r="L5" s="62">
        <v>3</v>
      </c>
    </row>
    <row r="6" spans="2:12" ht="12.75">
      <c r="B6" s="25" t="s">
        <v>20</v>
      </c>
      <c r="C6" s="61">
        <f>'Summary Sheet'!D19</f>
        <v>0</v>
      </c>
      <c r="D6" s="62">
        <f t="shared" si="0"/>
        <v>0</v>
      </c>
      <c r="E6" s="61">
        <v>1</v>
      </c>
      <c r="F6" s="58">
        <v>0.8</v>
      </c>
      <c r="G6" s="58">
        <v>1</v>
      </c>
      <c r="H6" s="59">
        <v>1.2</v>
      </c>
      <c r="I6" s="60">
        <f t="shared" si="1"/>
        <v>1</v>
      </c>
      <c r="J6" s="63">
        <f t="shared" si="2"/>
        <v>1.25</v>
      </c>
      <c r="K6" s="64">
        <f t="shared" si="3"/>
        <v>1.4999999999999998</v>
      </c>
      <c r="L6" s="62">
        <v>3</v>
      </c>
    </row>
    <row r="7" spans="2:12" ht="12.75">
      <c r="B7" s="25" t="s">
        <v>21</v>
      </c>
      <c r="C7" s="61">
        <f>'Summary Sheet'!D20</f>
        <v>0</v>
      </c>
      <c r="D7" s="62">
        <f t="shared" si="0"/>
        <v>0</v>
      </c>
      <c r="E7" s="61">
        <v>1</v>
      </c>
      <c r="F7" s="58">
        <v>0.8</v>
      </c>
      <c r="G7" s="58">
        <v>1</v>
      </c>
      <c r="H7" s="59">
        <v>1.2</v>
      </c>
      <c r="I7" s="60">
        <f t="shared" si="1"/>
        <v>1</v>
      </c>
      <c r="J7" s="63">
        <f t="shared" si="2"/>
        <v>1.25</v>
      </c>
      <c r="K7" s="64">
        <f t="shared" si="3"/>
        <v>1.4999999999999998</v>
      </c>
      <c r="L7" s="62">
        <v>3</v>
      </c>
    </row>
    <row r="8" spans="2:12">
      <c r="B8" s="61" t="s">
        <v>59</v>
      </c>
      <c r="C8" s="61">
        <f>ABS('Summary Sheet'!D13)</f>
        <v>0</v>
      </c>
      <c r="D8" s="62">
        <f t="shared" si="0"/>
        <v>0</v>
      </c>
      <c r="E8" s="61">
        <v>4</v>
      </c>
      <c r="F8" s="58">
        <v>3.2</v>
      </c>
      <c r="G8" s="58">
        <v>4</v>
      </c>
      <c r="H8" s="59">
        <v>4.8</v>
      </c>
      <c r="I8" s="60">
        <f t="shared" si="1"/>
        <v>1</v>
      </c>
      <c r="J8" s="63">
        <f t="shared" si="2"/>
        <v>1.25</v>
      </c>
      <c r="K8" s="64">
        <f t="shared" si="3"/>
        <v>1.4999999999999998</v>
      </c>
      <c r="L8" s="62">
        <v>3</v>
      </c>
    </row>
    <row r="9" spans="2:12">
      <c r="B9" s="61" t="s">
        <v>60</v>
      </c>
      <c r="C9" s="61">
        <f>ABS('Summary Sheet'!D14)</f>
        <v>0</v>
      </c>
      <c r="D9" s="62">
        <f t="shared" si="0"/>
        <v>0</v>
      </c>
      <c r="E9" s="61">
        <v>3.3</v>
      </c>
      <c r="F9" s="58">
        <v>2.6</v>
      </c>
      <c r="G9" s="58">
        <v>3.3</v>
      </c>
      <c r="H9" s="59">
        <v>4</v>
      </c>
      <c r="I9" s="60">
        <f t="shared" si="1"/>
        <v>1</v>
      </c>
      <c r="J9" s="63">
        <f t="shared" si="2"/>
        <v>1.2692307692307692</v>
      </c>
      <c r="K9" s="64">
        <f t="shared" si="3"/>
        <v>1.5384615384615383</v>
      </c>
      <c r="L9" s="62">
        <v>3</v>
      </c>
    </row>
    <row r="10" spans="2:12">
      <c r="B10" s="54" t="s">
        <v>61</v>
      </c>
      <c r="C10" s="54">
        <f>ABS('Summary Sheet'!D21)</f>
        <v>0</v>
      </c>
      <c r="D10" s="57">
        <f t="shared" si="0"/>
        <v>0</v>
      </c>
      <c r="E10" s="54">
        <v>60</v>
      </c>
      <c r="F10" s="96">
        <v>60</v>
      </c>
      <c r="G10" s="96">
        <v>75</v>
      </c>
      <c r="H10" s="97">
        <v>90</v>
      </c>
      <c r="I10" s="98">
        <f t="shared" si="1"/>
        <v>1</v>
      </c>
      <c r="J10" s="99">
        <f t="shared" si="2"/>
        <v>1.25</v>
      </c>
      <c r="K10" s="100">
        <f t="shared" si="3"/>
        <v>1.5</v>
      </c>
      <c r="L10" s="57">
        <v>3</v>
      </c>
    </row>
    <row r="11" spans="2:12">
      <c r="B11" s="61" t="s">
        <v>62</v>
      </c>
      <c r="C11" s="61">
        <f>ABS('Summary Sheet'!D22)</f>
        <v>0</v>
      </c>
      <c r="D11" s="62">
        <f t="shared" si="0"/>
        <v>0</v>
      </c>
      <c r="E11" s="61">
        <v>50</v>
      </c>
      <c r="F11" s="58">
        <v>50</v>
      </c>
      <c r="G11" s="58">
        <v>60</v>
      </c>
      <c r="H11" s="59">
        <v>75</v>
      </c>
      <c r="I11" s="60">
        <f t="shared" si="1"/>
        <v>1</v>
      </c>
      <c r="J11" s="63">
        <f t="shared" si="2"/>
        <v>1.2</v>
      </c>
      <c r="K11" s="64">
        <f t="shared" si="3"/>
        <v>1.5</v>
      </c>
      <c r="L11" s="62">
        <v>3</v>
      </c>
    </row>
    <row r="12" spans="2:12">
      <c r="B12" s="61" t="s">
        <v>63</v>
      </c>
      <c r="C12" s="61">
        <f>ABS('Summary Sheet'!D24)</f>
        <v>0</v>
      </c>
      <c r="D12" s="62">
        <f t="shared" si="0"/>
        <v>0</v>
      </c>
      <c r="E12" s="61">
        <v>8.1999999999999993</v>
      </c>
      <c r="F12" s="58">
        <v>6.6</v>
      </c>
      <c r="G12" s="58">
        <v>8.1999999999999993</v>
      </c>
      <c r="H12" s="59">
        <v>9.8000000000000007</v>
      </c>
      <c r="I12" s="60">
        <f t="shared" si="1"/>
        <v>1</v>
      </c>
      <c r="J12" s="63">
        <f t="shared" si="2"/>
        <v>1.2424242424242424</v>
      </c>
      <c r="K12" s="64">
        <f t="shared" si="3"/>
        <v>1.4848484848484851</v>
      </c>
      <c r="L12" s="62">
        <v>3</v>
      </c>
    </row>
    <row r="13" spans="2:12">
      <c r="B13" s="66" t="s">
        <v>64</v>
      </c>
      <c r="C13" s="66">
        <f>ABS('Summary Sheet'!D23)</f>
        <v>0</v>
      </c>
      <c r="D13" s="67">
        <f t="shared" si="0"/>
        <v>0</v>
      </c>
      <c r="E13" s="66">
        <v>1</v>
      </c>
      <c r="F13" s="104">
        <v>0.8</v>
      </c>
      <c r="G13" s="104">
        <v>1</v>
      </c>
      <c r="H13" s="108">
        <v>1.2</v>
      </c>
      <c r="I13" s="94">
        <f t="shared" si="1"/>
        <v>1</v>
      </c>
      <c r="J13" s="105">
        <f t="shared" si="2"/>
        <v>1.25</v>
      </c>
      <c r="K13" s="107">
        <f t="shared" si="3"/>
        <v>1.4999999999999998</v>
      </c>
      <c r="L13" s="67">
        <v>3</v>
      </c>
    </row>
    <row r="14" spans="2:12">
      <c r="B14" s="54" t="s">
        <v>83</v>
      </c>
      <c r="C14" s="54">
        <f>ABS('Summary Sheet'!D27)</f>
        <v>0</v>
      </c>
      <c r="D14" s="57">
        <f>C14/G14</f>
        <v>0</v>
      </c>
      <c r="E14" s="54"/>
      <c r="F14" s="99">
        <v>0.05</v>
      </c>
      <c r="G14" s="99">
        <v>0.15</v>
      </c>
      <c r="H14" s="100">
        <v>0.25</v>
      </c>
      <c r="I14" s="98">
        <f>F14/$G$14</f>
        <v>0.33333333333333337</v>
      </c>
      <c r="J14" s="99">
        <f>G14/$G$14</f>
        <v>1</v>
      </c>
      <c r="K14" s="100">
        <f>H14/$G$14</f>
        <v>1.6666666666666667</v>
      </c>
      <c r="L14" s="106">
        <v>3</v>
      </c>
    </row>
    <row r="15" spans="2:12">
      <c r="B15" s="61" t="s">
        <v>85</v>
      </c>
      <c r="C15" s="61">
        <f>ABS(LeftFemurF)</f>
        <v>0</v>
      </c>
      <c r="D15" s="62">
        <f>C15/F15</f>
        <v>0</v>
      </c>
      <c r="E15" s="61">
        <v>9.1</v>
      </c>
      <c r="F15" s="112">
        <v>7.3</v>
      </c>
      <c r="G15" s="110">
        <v>9.1</v>
      </c>
      <c r="H15" s="111">
        <v>10.9</v>
      </c>
      <c r="I15" s="112">
        <f>F15/$F15</f>
        <v>1</v>
      </c>
      <c r="J15" s="110">
        <f>G15/$F15</f>
        <v>1.2465753424657533</v>
      </c>
      <c r="K15" s="111">
        <f>H15/$F15</f>
        <v>1.493150684931507</v>
      </c>
      <c r="L15" s="113">
        <v>3</v>
      </c>
    </row>
    <row r="16" spans="2:12">
      <c r="B16" s="61" t="s">
        <v>65</v>
      </c>
      <c r="C16" s="65">
        <f>ABS('Summary Sheet'!D29)</f>
        <v>0</v>
      </c>
      <c r="D16" s="62">
        <f t="shared" si="0"/>
        <v>0</v>
      </c>
      <c r="E16" s="61">
        <v>15</v>
      </c>
      <c r="F16" s="58">
        <v>12</v>
      </c>
      <c r="G16" s="58">
        <v>15</v>
      </c>
      <c r="H16" s="59">
        <v>18</v>
      </c>
      <c r="I16" s="60">
        <f t="shared" si="1"/>
        <v>1</v>
      </c>
      <c r="J16" s="63">
        <f t="shared" si="2"/>
        <v>1.25</v>
      </c>
      <c r="K16" s="64">
        <f t="shared" si="3"/>
        <v>1.5</v>
      </c>
      <c r="L16" s="62">
        <v>3</v>
      </c>
    </row>
    <row r="17" spans="2:12">
      <c r="B17" s="61" t="s">
        <v>31</v>
      </c>
      <c r="C17" s="61">
        <f>ABS('Summary Sheet'!D33)</f>
        <v>0</v>
      </c>
      <c r="D17" s="62">
        <f t="shared" si="0"/>
        <v>0</v>
      </c>
      <c r="E17" s="61">
        <v>1</v>
      </c>
      <c r="F17" s="58">
        <v>0.8</v>
      </c>
      <c r="G17" s="58">
        <v>1</v>
      </c>
      <c r="H17" s="59">
        <v>1.2</v>
      </c>
      <c r="I17" s="60">
        <f t="shared" si="1"/>
        <v>1</v>
      </c>
      <c r="J17" s="63">
        <f t="shared" si="2"/>
        <v>1.25</v>
      </c>
      <c r="K17" s="64">
        <f t="shared" si="3"/>
        <v>1.4999999999999998</v>
      </c>
      <c r="L17" s="62">
        <v>3</v>
      </c>
    </row>
    <row r="18" spans="2:12">
      <c r="B18" s="61" t="s">
        <v>34</v>
      </c>
      <c r="C18" s="61">
        <f>ABS('Summary Sheet'!D38)</f>
        <v>0</v>
      </c>
      <c r="D18" s="62">
        <f t="shared" si="0"/>
        <v>0</v>
      </c>
      <c r="E18" s="61">
        <v>1</v>
      </c>
      <c r="F18" s="58">
        <v>0.8</v>
      </c>
      <c r="G18" s="58">
        <v>1</v>
      </c>
      <c r="H18" s="59">
        <v>1.2</v>
      </c>
      <c r="I18" s="60">
        <f t="shared" si="1"/>
        <v>1</v>
      </c>
      <c r="J18" s="63">
        <f t="shared" si="2"/>
        <v>1.25</v>
      </c>
      <c r="K18" s="64">
        <f t="shared" si="3"/>
        <v>1.4999999999999998</v>
      </c>
      <c r="L18" s="62">
        <v>3</v>
      </c>
    </row>
    <row r="19" spans="2:12">
      <c r="B19" s="61" t="s">
        <v>66</v>
      </c>
      <c r="C19" s="61">
        <f>ABS('Summary Sheet'!D37)</f>
        <v>0</v>
      </c>
      <c r="D19" s="62">
        <f t="shared" si="0"/>
        <v>0</v>
      </c>
      <c r="E19" s="61">
        <v>8</v>
      </c>
      <c r="F19" s="58">
        <v>4</v>
      </c>
      <c r="G19" s="58">
        <v>6</v>
      </c>
      <c r="H19" s="59">
        <v>8</v>
      </c>
      <c r="I19" s="60">
        <f t="shared" si="1"/>
        <v>1</v>
      </c>
      <c r="J19" s="63">
        <f t="shared" si="2"/>
        <v>1.5</v>
      </c>
      <c r="K19" s="64">
        <f t="shared" si="3"/>
        <v>2</v>
      </c>
      <c r="L19" s="62">
        <v>3</v>
      </c>
    </row>
    <row r="20" spans="2:12">
      <c r="B20" s="66" t="s">
        <v>67</v>
      </c>
      <c r="C20" s="66">
        <f>ABS('Summary Sheet'!D41)</f>
        <v>0</v>
      </c>
      <c r="D20" s="67">
        <f t="shared" si="0"/>
        <v>0</v>
      </c>
      <c r="E20" s="66">
        <v>150</v>
      </c>
      <c r="F20" s="104">
        <v>150</v>
      </c>
      <c r="G20" s="104">
        <v>200</v>
      </c>
      <c r="H20" s="104">
        <v>260</v>
      </c>
      <c r="I20" s="105">
        <f t="shared" si="1"/>
        <v>1</v>
      </c>
      <c r="J20" s="105">
        <f t="shared" si="2"/>
        <v>1.3333333333333333</v>
      </c>
      <c r="K20" s="105">
        <f t="shared" si="3"/>
        <v>1.7333333333333334</v>
      </c>
      <c r="L20" s="107">
        <v>3</v>
      </c>
    </row>
    <row r="21" spans="2:12">
      <c r="B21" s="54" t="s">
        <v>84</v>
      </c>
      <c r="C21" s="54">
        <f>ABS('Summary Sheet'!D44)</f>
        <v>0</v>
      </c>
      <c r="D21" s="57">
        <f>C21/G21</f>
        <v>0</v>
      </c>
      <c r="E21" s="54"/>
      <c r="F21" s="99">
        <f>F14</f>
        <v>0.05</v>
      </c>
      <c r="G21" s="99">
        <f>G14</f>
        <v>0.15</v>
      </c>
      <c r="H21" s="99">
        <f>H14</f>
        <v>0.25</v>
      </c>
      <c r="I21" s="98">
        <f>F21/$G$14</f>
        <v>0.33333333333333337</v>
      </c>
      <c r="J21" s="99">
        <f>G21/$G$14</f>
        <v>1</v>
      </c>
      <c r="K21" s="99">
        <f>H21/$G$14</f>
        <v>1.6666666666666667</v>
      </c>
      <c r="L21" s="103">
        <v>3</v>
      </c>
    </row>
    <row r="22" spans="2:12">
      <c r="B22" s="61" t="s">
        <v>86</v>
      </c>
      <c r="C22" s="61">
        <f>ABS('Summary Sheet'!D42)</f>
        <v>0</v>
      </c>
      <c r="D22" s="62">
        <f>C22/F22</f>
        <v>0</v>
      </c>
      <c r="E22" s="61">
        <v>9.1</v>
      </c>
      <c r="F22" s="112">
        <v>7.3</v>
      </c>
      <c r="G22" s="110">
        <v>9.1</v>
      </c>
      <c r="H22" s="111">
        <v>10.9</v>
      </c>
      <c r="I22" s="112">
        <f>F22/$F22</f>
        <v>1</v>
      </c>
      <c r="J22" s="110">
        <f>G22/$F22</f>
        <v>1.2465753424657533</v>
      </c>
      <c r="K22" s="111">
        <f>H22/$F22</f>
        <v>1.493150684931507</v>
      </c>
      <c r="L22" s="113">
        <v>3</v>
      </c>
    </row>
    <row r="23" spans="2:12">
      <c r="B23" s="61" t="s">
        <v>68</v>
      </c>
      <c r="C23" s="61">
        <f>ABS('Summary Sheet'!D46)</f>
        <v>0</v>
      </c>
      <c r="D23" s="62">
        <f t="shared" si="0"/>
        <v>0</v>
      </c>
      <c r="E23" s="61">
        <v>15</v>
      </c>
      <c r="F23" s="58">
        <v>12</v>
      </c>
      <c r="G23" s="58">
        <v>15</v>
      </c>
      <c r="H23" s="58">
        <v>18</v>
      </c>
      <c r="I23" s="63">
        <f t="shared" si="1"/>
        <v>1</v>
      </c>
      <c r="J23" s="63">
        <f t="shared" si="2"/>
        <v>1.25</v>
      </c>
      <c r="K23" s="63">
        <f t="shared" si="3"/>
        <v>1.5</v>
      </c>
      <c r="L23" s="64">
        <v>3</v>
      </c>
    </row>
    <row r="24" spans="2:12">
      <c r="B24" s="61" t="s">
        <v>40</v>
      </c>
      <c r="C24" s="61">
        <f>ABS('Summary Sheet'!D50)</f>
        <v>0</v>
      </c>
      <c r="D24" s="62">
        <f t="shared" si="0"/>
        <v>0</v>
      </c>
      <c r="E24" s="61">
        <v>1</v>
      </c>
      <c r="F24" s="58">
        <v>0.8</v>
      </c>
      <c r="G24" s="58">
        <v>1</v>
      </c>
      <c r="H24" s="58">
        <v>1.2</v>
      </c>
      <c r="I24" s="63">
        <f t="shared" si="1"/>
        <v>1</v>
      </c>
      <c r="J24" s="63">
        <f t="shared" si="2"/>
        <v>1.25</v>
      </c>
      <c r="K24" s="63">
        <f t="shared" si="3"/>
        <v>1.4999999999999998</v>
      </c>
      <c r="L24" s="64">
        <v>3</v>
      </c>
    </row>
    <row r="25" spans="2:12">
      <c r="B25" s="61" t="s">
        <v>43</v>
      </c>
      <c r="C25" s="61">
        <f>ABS('Summary Sheet'!D55)</f>
        <v>0</v>
      </c>
      <c r="D25" s="62">
        <f t="shared" si="0"/>
        <v>0</v>
      </c>
      <c r="E25" s="61">
        <v>1</v>
      </c>
      <c r="F25" s="58">
        <v>0.8</v>
      </c>
      <c r="G25" s="58">
        <v>1</v>
      </c>
      <c r="H25" s="58">
        <v>1.2</v>
      </c>
      <c r="I25" s="63">
        <f t="shared" si="1"/>
        <v>1</v>
      </c>
      <c r="J25" s="63">
        <f t="shared" si="2"/>
        <v>1.25</v>
      </c>
      <c r="K25" s="63">
        <f t="shared" si="3"/>
        <v>1.4999999999999998</v>
      </c>
      <c r="L25" s="64">
        <v>3</v>
      </c>
    </row>
    <row r="26" spans="2:12">
      <c r="B26" s="61" t="s">
        <v>69</v>
      </c>
      <c r="C26" s="61">
        <f>ABS('Summary Sheet'!D54)</f>
        <v>0</v>
      </c>
      <c r="D26" s="62">
        <f t="shared" si="0"/>
        <v>0</v>
      </c>
      <c r="E26" s="61">
        <v>8</v>
      </c>
      <c r="F26" s="58">
        <v>4</v>
      </c>
      <c r="G26" s="58">
        <v>6</v>
      </c>
      <c r="H26" s="58">
        <v>8</v>
      </c>
      <c r="I26" s="63">
        <f t="shared" si="1"/>
        <v>1</v>
      </c>
      <c r="J26" s="63">
        <f t="shared" si="2"/>
        <v>1.5</v>
      </c>
      <c r="K26" s="63">
        <f t="shared" si="3"/>
        <v>2</v>
      </c>
      <c r="L26" s="64">
        <v>3</v>
      </c>
    </row>
    <row r="27" spans="2:12">
      <c r="B27" s="66" t="s">
        <v>70</v>
      </c>
      <c r="C27" s="66">
        <f>ABS('Summary Sheet'!D58)</f>
        <v>0</v>
      </c>
      <c r="D27" s="67">
        <f t="shared" si="0"/>
        <v>0</v>
      </c>
      <c r="E27" s="66">
        <v>150</v>
      </c>
      <c r="F27" s="101">
        <v>150</v>
      </c>
      <c r="G27" s="101">
        <v>200</v>
      </c>
      <c r="H27" s="101">
        <v>260</v>
      </c>
      <c r="I27" s="101">
        <f t="shared" si="1"/>
        <v>1</v>
      </c>
      <c r="J27" s="101">
        <f t="shared" si="2"/>
        <v>1.3333333333333333</v>
      </c>
      <c r="K27" s="101">
        <f t="shared" si="3"/>
        <v>1.7333333333333334</v>
      </c>
      <c r="L27" s="102">
        <v>3</v>
      </c>
    </row>
    <row r="29" spans="2:12" ht="4.5" customHeight="1">
      <c r="B29" s="58"/>
      <c r="C29" s="58"/>
      <c r="D29" s="63"/>
      <c r="E29" s="58"/>
      <c r="F29" s="58"/>
      <c r="G29" s="58"/>
      <c r="H29" s="58"/>
      <c r="I29" s="63"/>
      <c r="J29" s="63"/>
      <c r="K29" s="63"/>
      <c r="L29" s="63"/>
    </row>
    <row r="30" spans="2:12">
      <c r="F30" s="158" t="s">
        <v>71</v>
      </c>
      <c r="G30" s="159"/>
      <c r="H30" s="68"/>
    </row>
    <row r="31" spans="2:12">
      <c r="B31" s="69" t="s">
        <v>72</v>
      </c>
      <c r="C31" s="69">
        <f>ABS('Summary Sheet'!D11)</f>
        <v>0</v>
      </c>
      <c r="D31" s="70">
        <f>C31/E31</f>
        <v>0</v>
      </c>
      <c r="E31" s="69">
        <v>3.1</v>
      </c>
      <c r="F31" s="71">
        <v>3</v>
      </c>
      <c r="G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4">
    <mergeCell ref="F30:G30"/>
    <mergeCell ref="I1:K1"/>
    <mergeCell ref="F1:H1"/>
    <mergeCell ref="C1:D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topLeftCell="A16" zoomScale="145" zoomScaleNormal="145" workbookViewId="0">
      <selection activeCell="B22" sqref="B22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196</vt:i4>
      </vt:variant>
    </vt:vector>
  </HeadingPairs>
  <TitlesOfParts>
    <vt:vector size="202" baseType="lpstr">
      <vt:lpstr>Summary Sheet</vt:lpstr>
      <vt:lpstr>Ratings Chart Data</vt:lpstr>
      <vt:lpstr>Crash Analysis</vt:lpstr>
      <vt:lpstr>Film Analysis</vt:lpstr>
      <vt:lpstr>Ratings Chart MO</vt:lpstr>
      <vt:lpstr>Ratings Chart SO</vt:lpstr>
      <vt:lpstr>_HIC15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ARSX</vt:lpstr>
      <vt:lpstr>ARSX_t</vt:lpstr>
      <vt:lpstr>ARSY</vt:lpstr>
      <vt:lpstr>ARSY_t</vt:lpstr>
      <vt:lpstr>ARSZ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ChestD</vt:lpstr>
      <vt:lpstr>ChestD_t</vt:lpstr>
      <vt:lpstr>CLRG</vt:lpstr>
      <vt:lpstr>CLRG_t</vt:lpstr>
      <vt:lpstr>CLXG</vt:lpstr>
      <vt:lpstr>CLXG_t</vt:lpstr>
      <vt:lpstr>CLYG</vt:lpstr>
      <vt:lpstr>CLYG_t</vt:lpstr>
      <vt:lpstr>CLZG</vt:lpstr>
      <vt:lpstr>CLZG_t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HeadRG</vt:lpstr>
      <vt:lpstr>HeadRG_t</vt:lpstr>
      <vt:lpstr>HeadRG3ms</vt:lpstr>
      <vt:lpstr>HeadRG3ms_t1</vt:lpstr>
      <vt:lpstr>HeadRG3ms_t2</vt:lpstr>
      <vt:lpstr>HIC15_t1</vt:lpstr>
      <vt:lpstr>HIC15_t2</vt:lpstr>
      <vt:lpstr>HIC36_t1</vt:lpstr>
      <vt:lpstr>HIC36_t2</vt:lpstr>
      <vt:lpstr>HN_INJURY_DOWNGRADE</vt:lpstr>
      <vt:lpstr>HN_INJURY_DOWNGRADE_MO</vt:lpstr>
      <vt:lpstr>impact_speed</vt:lpstr>
      <vt:lpstr>impact_speed_MO</vt:lpstr>
      <vt:lpstr>initial_spoolout_mm</vt:lpstr>
      <vt:lpstr>initial_spoolout_t</vt:lpstr>
      <vt:lpstr>late_or_no_airbag</vt:lpstr>
      <vt:lpstr>LateralNeckForce</vt:lpstr>
      <vt:lpstr>LateralNeckForce_t</vt:lpstr>
      <vt:lpstr>LeftFemurF</vt:lpstr>
      <vt:lpstr>LeftFemurF_t</vt:lpstr>
      <vt:lpstr>LeftFemurImpulse</vt:lpstr>
      <vt:lpstr>LeftFootAPG</vt:lpstr>
      <vt:lpstr>LeftFootAPG_t</vt:lpstr>
      <vt:lpstr>LeftFootISG</vt:lpstr>
      <vt:lpstr>LeftFootISG_t</vt:lpstr>
      <vt:lpstr>LeftFootRG</vt:lpstr>
      <vt:lpstr>LeftFootRG_t</vt:lpstr>
      <vt:lpstr>LeftKneeD</vt:lpstr>
      <vt:lpstr>LeftKneeD_t</vt:lpstr>
      <vt:lpstr>LeftKTHInjuryLocation</vt:lpstr>
      <vt:lpstr>LeftKTHRisk</vt:lpstr>
      <vt:lpstr>LeftLowerTibiaAPM</vt:lpstr>
      <vt:lpstr>LeftLowerTibiaAPM_t</vt:lpstr>
      <vt:lpstr>LeftLowerTibiaIndex</vt:lpstr>
      <vt:lpstr>LeftLowerTibiaIndex_t</vt:lpstr>
      <vt:lpstr>LeftLowerTibiaLMM</vt:lpstr>
      <vt:lpstr>LeftLowerTibiaLMM_t</vt:lpstr>
      <vt:lpstr>LeftLowerTibiaRM</vt:lpstr>
      <vt:lpstr>LeftLowerTibiaRM_t</vt:lpstr>
      <vt:lpstr>LeftLowerTibiaZF</vt:lpstr>
      <vt:lpstr>LeftLowerTibiaZF_t</vt:lpstr>
      <vt:lpstr>LeftUpperTibiaAPM</vt:lpstr>
      <vt:lpstr>LeftUpperTibiaAPM_t</vt:lpstr>
      <vt:lpstr>LeftUpperTibiaIndex</vt:lpstr>
      <vt:lpstr>LeftUpperTibiaIndex_t</vt:lpstr>
      <vt:lpstr>LeftUpperTibiaLMM</vt:lpstr>
      <vt:lpstr>LeftUpperTibiaLMM_t</vt:lpstr>
      <vt:lpstr>LeftUpperTibiaRM</vt:lpstr>
      <vt:lpstr>LeftUpperTibiaRM_t</vt:lpstr>
      <vt:lpstr>multiple_hard_contacts</vt:lpstr>
      <vt:lpstr>NeckAPShear</vt:lpstr>
      <vt:lpstr>NeckAPShear_t</vt:lpstr>
      <vt:lpstr>NeckCompression</vt:lpstr>
      <vt:lpstr>NeckCompression_t</vt:lpstr>
      <vt:lpstr>NeckExtension</vt:lpstr>
      <vt:lpstr>NeckExtension_t</vt:lpstr>
      <vt:lpstr>NeckFlexion</vt:lpstr>
      <vt:lpstr>NeckFlexion_t</vt:lpstr>
      <vt:lpstr>NeckTension</vt:lpstr>
      <vt:lpstr>NeckTension_t</vt:lpstr>
      <vt:lpstr>Net_spoolout_mm</vt:lpstr>
      <vt:lpstr>Net_spoolout_t</vt:lpstr>
      <vt:lpstr>Nij_CE</vt:lpstr>
      <vt:lpstr>Nij_CE_t</vt:lpstr>
      <vt:lpstr>Nij_CF</vt:lpstr>
      <vt:lpstr>Nij_CF_t</vt:lpstr>
      <vt:lpstr>Nij_TE</vt:lpstr>
      <vt:lpstr>Nij_TE_t</vt:lpstr>
      <vt:lpstr>Nij_TF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'Summary Sheet'!Print_Area</vt:lpstr>
      <vt:lpstr>Retraction_mm</vt:lpstr>
      <vt:lpstr>Retraction_t</vt:lpstr>
      <vt:lpstr>RightFemurF</vt:lpstr>
      <vt:lpstr>RightFemurF_t</vt:lpstr>
      <vt:lpstr>RightFemurImpulse</vt:lpstr>
      <vt:lpstr>RightFootAPG</vt:lpstr>
      <vt:lpstr>RightFootAPG_t</vt:lpstr>
      <vt:lpstr>RightFootISG</vt:lpstr>
      <vt:lpstr>RightFootISG_t</vt:lpstr>
      <vt:lpstr>RightFootRG</vt:lpstr>
      <vt:lpstr>RightFootRG_t</vt:lpstr>
      <vt:lpstr>RightKneeD</vt:lpstr>
      <vt:lpstr>RightKneeD_t</vt:lpstr>
      <vt:lpstr>RightKTHInjuryLocation</vt:lpstr>
      <vt:lpstr>RightKTHRisk</vt:lpstr>
      <vt:lpstr>RightLowerTibiaAPM</vt:lpstr>
      <vt:lpstr>RightLowerTibiaAPM_t</vt:lpstr>
      <vt:lpstr>RightLowerTibiaIndex</vt:lpstr>
      <vt:lpstr>RightLowerTibiaIndex_t</vt:lpstr>
      <vt:lpstr>RightLowerTibiaLMM</vt:lpstr>
      <vt:lpstr>RightLowerTibiaLMM_t</vt:lpstr>
      <vt:lpstr>RightLowerTibiaRM</vt:lpstr>
      <vt:lpstr>RightLowerTibiaRM_t</vt:lpstr>
      <vt:lpstr>RightLowerTibiaZF</vt:lpstr>
      <vt:lpstr>RightLowerTibiaZF_t</vt:lpstr>
      <vt:lpstr>RightUpperTibiaAPM</vt:lpstr>
      <vt:lpstr>RightUpperTibiaAPM_t</vt:lpstr>
      <vt:lpstr>RightUpperTibiaIndex</vt:lpstr>
      <vt:lpstr>RightUpperTibiaIndex_t</vt:lpstr>
      <vt:lpstr>RightUpperTibiaLMM</vt:lpstr>
      <vt:lpstr>RightUpperTibiaLMM_t</vt:lpstr>
      <vt:lpstr>RightUpperTibiaRM</vt:lpstr>
      <vt:lpstr>RightUpperTibiaRM_t</vt:lpstr>
      <vt:lpstr>RK_comments</vt:lpstr>
      <vt:lpstr>seat_attach_failure</vt:lpstr>
      <vt:lpstr>seat_instability</vt:lpstr>
      <vt:lpstr>SternumDeflectionRate</vt:lpstr>
      <vt:lpstr>SternumDeflectionRate_t</vt:lpstr>
      <vt:lpstr>structure_comments</vt:lpstr>
      <vt:lpstr>SW_lateral_over10</vt:lpstr>
      <vt:lpstr>SW_lateral_over15</vt:lpstr>
      <vt:lpstr>SW_vertical_over10</vt:lpstr>
      <vt:lpstr>ThoraxG3ms</vt:lpstr>
      <vt:lpstr>ThoraxG3ms_t1</vt:lpstr>
      <vt:lpstr>ThoraxG3ms_t2</vt:lpstr>
      <vt:lpstr>Torso_airbag_deploy_t</vt:lpstr>
      <vt:lpstr>VC</vt:lpstr>
      <vt:lpstr>VC_t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2017-02-21T15:02:01Z</dcterms:modified>
</cp:coreProperties>
</file>