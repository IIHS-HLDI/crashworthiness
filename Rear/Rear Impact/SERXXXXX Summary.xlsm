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adem\IIHS Scripts\Crash\Rear\Rear Impact\"/>
    </mc:Choice>
  </mc:AlternateContent>
  <bookViews>
    <workbookView xWindow="0" yWindow="90" windowWidth="28635" windowHeight="13260"/>
  </bookViews>
  <sheets>
    <sheet name="Rating" sheetId="1" r:id="rId1"/>
    <sheet name="Summary" sheetId="3" r:id="rId2"/>
    <sheet name="Pulse" sheetId="2" r:id="rId3"/>
    <sheet name="Channel Comments" sheetId="4" r:id="rId4"/>
    <sheet name="IIWPG Target Pulse" sheetId="5" r:id="rId5"/>
    <sheet name="Neck Force Corridors" sheetId="6" r:id="rId6"/>
  </sheets>
  <definedNames>
    <definedName name="Accel_AvgG">Summary!$D$7</definedName>
    <definedName name="Accel_Peak">Summary!$D$3</definedName>
    <definedName name="Accel_TimeToZero">Summary!$D$5</definedName>
    <definedName name="Accel_TotalDeltaV">Summary!$D$6</definedName>
    <definedName name="Accel_ZeroMS">Summary!$D$4</definedName>
    <definedName name="antiwhiplash">Summary!$H$15</definedName>
    <definedName name="ATD_h">Summary!$F$5</definedName>
    <definedName name="ATD_v">Summary!$F$6</definedName>
    <definedName name="ATDBuildLevel">Summary!$B$9</definedName>
    <definedName name="ATDID">Summary!$B$6</definedName>
    <definedName name="BioRID_Test_Number">Summary!$B$7</definedName>
    <definedName name="Comment">Pulse!$C$5</definedName>
    <definedName name="cushionextension">Summary!$H$12</definedName>
    <definedName name="DeltaV_Criteria">Pulse!$K$16</definedName>
    <definedName name="DeltaV_kph">Pulse!$J$16</definedName>
    <definedName name="Dynamic_Rating">Rating!$L$13</definedName>
    <definedName name="DynamicRating">Rating!$L$13</definedName>
    <definedName name="End_Time_Criteria">Pulse!$K$14</definedName>
    <definedName name="End_Time_ms">Pulse!$J$14</definedName>
    <definedName name="HCT_Criteria">Rating!$L$24</definedName>
    <definedName name="HCT_End">Summary!$E$24</definedName>
    <definedName name="Head_Contact_Time">Rating!$H$24</definedName>
    <definedName name="heated">Summary!$H$14</definedName>
    <definedName name="HeightAdj">Summary!$F$7</definedName>
    <definedName name="HRMD_h">Summary!$F$3</definedName>
    <definedName name="HRMD_v">Summary!$F$4</definedName>
    <definedName name="IDandName">Pulse!$C$3</definedName>
    <definedName name="LCompression">Summary!$D$45</definedName>
    <definedName name="LCompression_t">Summary!$E$45</definedName>
    <definedName name="LTension">Summary!$D$44</definedName>
    <definedName name="LTension_t">Summary!$E$44</definedName>
    <definedName name="lumbar">Summary!$H$10</definedName>
    <definedName name="material">Summary!$H$3</definedName>
    <definedName name="MaxHeadG">Summary!$D$21</definedName>
    <definedName name="MaxHeadG_t">Summary!$E$21</definedName>
    <definedName name="Maximum_Shear_Force_N_">Rating!$H$17</definedName>
    <definedName name="Maximum_T1_Acceleration_g_">Rating!$H$22</definedName>
    <definedName name="Maximum_T1_Criteria">Rating!$L$22</definedName>
    <definedName name="Maximum_Tension_N_">Rating!$H$19</definedName>
    <definedName name="MaxLFX">Summary!$D$42</definedName>
    <definedName name="MaxLFX_t">Summary!$E$42</definedName>
    <definedName name="MaxLMY">Summary!$D$46</definedName>
    <definedName name="MaxLMY_t">Summary!$E$46</definedName>
    <definedName name="MaxMY">Summary!$D$32</definedName>
    <definedName name="MaxMy_t">Summary!$E$32</definedName>
    <definedName name="MaxNeckCompression">Summary!$D$31</definedName>
    <definedName name="MaxNeckCompression_t">Summary!$E$31</definedName>
    <definedName name="MaxNeckShear">Summary!$D$28</definedName>
    <definedName name="MaxNeckShear_t">Summary!$E$28</definedName>
    <definedName name="MaxNeckTension">Summary!$D$30</definedName>
    <definedName name="MaxNeckTension_t">Summary!$E$30</definedName>
    <definedName name="MaxNIC">Summary!$D$27</definedName>
    <definedName name="MaxNIC_t">Summary!$E$27</definedName>
    <definedName name="MaxT1XG">Summary!$D$25</definedName>
    <definedName name="MaxT1XG_t">Summary!$E$25</definedName>
    <definedName name="MinLFX">Summary!$D$43</definedName>
    <definedName name="MinLFX_t">Summary!$E$43</definedName>
    <definedName name="MinLMY">Summary!$D$47</definedName>
    <definedName name="MinLMY_t">Summary!$E$47</definedName>
    <definedName name="MinMY">Summary!$D$33</definedName>
    <definedName name="MinMY_t">Summary!$E$33</definedName>
    <definedName name="MinNeckShear">Summary!$D$29</definedName>
    <definedName name="MinNeckShear_t">Summary!$E$29</definedName>
    <definedName name="NEA">Summary!$D$38</definedName>
    <definedName name="NEA_t">Summary!$E$38</definedName>
    <definedName name="Neck_Forces_Rating">Rating!$L$17</definedName>
    <definedName name="NEP">Summary!$D$39</definedName>
    <definedName name="NEP_t">Summary!$E$39</definedName>
    <definedName name="NFA">Summary!$D$40</definedName>
    <definedName name="NFA_t">Summary!$E$40</definedName>
    <definedName name="NFP">Summary!$D$41</definedName>
    <definedName name="NFP_t">Summary!$E$41</definedName>
    <definedName name="NIJ_NCE">Summary!$D$34</definedName>
    <definedName name="NIJ_NCE_t">Summary!$E$34</definedName>
    <definedName name="NIJ_NCF">Summary!$D$35</definedName>
    <definedName name="NIJ_NCF_t">Summary!$E$35</definedName>
    <definedName name="NIJ_NTE">Summary!$D$36</definedName>
    <definedName name="NIJ_NTE_t">Summary!$E$36</definedName>
    <definedName name="NIJ_NTF">Summary!$D$37</definedName>
    <definedName name="NIJ_NTF_t">Summary!$E$37</definedName>
    <definedName name="Overall_Rating">Rating!$L$26</definedName>
    <definedName name="Peak_Acceleration_Criteria">Pulse!$K$12</definedName>
    <definedName name="Peak_Acceleration_g_">Pulse!$J$12</definedName>
    <definedName name="_xlnm.Print_Area" localSheetId="2">Pulse!$C$1:$K$42</definedName>
    <definedName name="_xlnm.Print_Area" localSheetId="0">Rating!$C$1:$M$50</definedName>
    <definedName name="ProtocolFileNumber">Summary!$B$5</definedName>
    <definedName name="RebVel">Summary!$D$22</definedName>
    <definedName name="RebVel_t">Summary!$E$22</definedName>
    <definedName name="seatback">Summary!$H$5</definedName>
    <definedName name="seatheight">Summary!$H$6</definedName>
    <definedName name="seatpanheight">Summary!$H$8</definedName>
    <definedName name="seatpantilt">Summary!$H$9</definedName>
    <definedName name="seattilt">Summary!$H$7</definedName>
    <definedName name="sidebolster">Summary!$H$13</definedName>
    <definedName name="t0_Acceleration_Criteria">Pulse!$K$10</definedName>
    <definedName name="t0_Acceleration_g_">Pulse!$J$10</definedName>
    <definedName name="TestDate">Summary!$B$4</definedName>
    <definedName name="TestId">Summary!$B$3</definedName>
    <definedName name="TiltAdj">Summary!$F$8</definedName>
    <definedName name="TimeToHrContact">Summary!$E$23</definedName>
    <definedName name="track">Summary!$H$4</definedName>
    <definedName name="upperseatback">Summary!$H$11</definedName>
    <definedName name="Year_Make_Model">Summary!$B$10</definedName>
  </definedNames>
  <calcPr calcId="162913"/>
</workbook>
</file>

<file path=xl/calcChain.xml><?xml version="1.0" encoding="utf-8"?>
<calcChain xmlns="http://schemas.openxmlformats.org/spreadsheetml/2006/main">
  <c r="C3" i="1" l="1"/>
  <c r="J16" i="2" l="1"/>
  <c r="J14" i="2"/>
  <c r="J12" i="2"/>
  <c r="J10" i="2"/>
  <c r="A2" i="4"/>
  <c r="A1" i="4"/>
  <c r="B8" i="3" l="1"/>
  <c r="J11" i="1"/>
  <c r="K11" i="1"/>
</calcChain>
</file>

<file path=xl/sharedStrings.xml><?xml version="1.0" encoding="utf-8"?>
<sst xmlns="http://schemas.openxmlformats.org/spreadsheetml/2006/main" count="541" uniqueCount="114">
  <si>
    <t>IIHS Dynamic Seat Rating for</t>
  </si>
  <si>
    <t>Good</t>
  </si>
  <si>
    <t>Acceptable</t>
  </si>
  <si>
    <t>Marginal</t>
  </si>
  <si>
    <t>Poor</t>
  </si>
  <si>
    <t>Measured Value</t>
  </si>
  <si>
    <t>Reference Value</t>
  </si>
  <si>
    <t>Rating</t>
  </si>
  <si>
    <t>Static Rating</t>
  </si>
  <si>
    <t>Backset</t>
  </si>
  <si>
    <t>Height</t>
  </si>
  <si>
    <t>Dynamic Rating</t>
  </si>
  <si>
    <t>Neck Force Data</t>
  </si>
  <si>
    <t>Maximum Neck Shear Force (N)</t>
  </si>
  <si>
    <t>Maximum Neck Tension (N)</t>
  </si>
  <si>
    <t>Seat Design Parameter Data</t>
  </si>
  <si>
    <t>Maximum T1 Acceleration (g)</t>
  </si>
  <si>
    <t>Head Contact Time Adjusted (ms)</t>
  </si>
  <si>
    <t>Overall Rating</t>
  </si>
  <si>
    <t>Graph of Neck Rating</t>
  </si>
  <si>
    <t>Corridors for IIWPG Dynamic Test Pulse</t>
  </si>
  <si>
    <t>Minimum Corridor</t>
  </si>
  <si>
    <t>Maximum Corridor</t>
  </si>
  <si>
    <t>Test          Value</t>
  </si>
  <si>
    <t>Evaluation</t>
  </si>
  <si>
    <t>Acceleration at Time=0 ms (g)</t>
  </si>
  <si>
    <t>Acceleration at Time= 27 ms (g)</t>
  </si>
  <si>
    <t>Time that sled acceleration returns to zero (ms)</t>
  </si>
  <si>
    <t>Pulse delta-V (km/h)</t>
  </si>
  <si>
    <t>Graph of Test Pulse and Ideal Pulse</t>
  </si>
  <si>
    <t>Graph of Test Velocity and Ideal Velocity</t>
  </si>
  <si>
    <t>Test ID</t>
  </si>
  <si>
    <t>HR Position - Height</t>
  </si>
  <si>
    <t>HR Position - Tilt</t>
  </si>
  <si>
    <t>BioRID Build Level</t>
  </si>
  <si>
    <t>Test Date</t>
  </si>
  <si>
    <t>HPG Protocol File No.</t>
  </si>
  <si>
    <t>Pelvis Angle</t>
  </si>
  <si>
    <t>Torso Angle</t>
  </si>
  <si>
    <t>Post Seatback Angle</t>
  </si>
  <si>
    <t>Year/Make/Model</t>
  </si>
  <si>
    <t>Pulse Corridor Verification for</t>
  </si>
  <si>
    <t>Static Measurements (mm)</t>
  </si>
  <si>
    <t>Data channel location</t>
  </si>
  <si>
    <t>Data channel measurement</t>
  </si>
  <si>
    <t>Comment</t>
  </si>
  <si>
    <t>Dummy ID</t>
  </si>
  <si>
    <t>ATD Test Number</t>
  </si>
  <si>
    <t>Test Info</t>
  </si>
  <si>
    <t>Sled Pulse Data</t>
  </si>
  <si>
    <t>Peak Acceleration (g)</t>
  </si>
  <si>
    <t>Acceleration at t0 (g)</t>
  </si>
  <si>
    <t>Time to 0g acceleration (ms)</t>
  </si>
  <si>
    <t>Delta V (km/h)</t>
  </si>
  <si>
    <t>Average Acceleration (g)</t>
  </si>
  <si>
    <t>Pre-test Measurements</t>
  </si>
  <si>
    <t>HRMD - Horizontal</t>
  </si>
  <si>
    <t>HRMD - Vertical</t>
  </si>
  <si>
    <t>BioRID - Horizontal</t>
  </si>
  <si>
    <t>BioRID - Vertical</t>
  </si>
  <si>
    <t>Seat Properties</t>
  </si>
  <si>
    <t>Material</t>
  </si>
  <si>
    <t>Track Adjustment</t>
  </si>
  <si>
    <t>Seatback Adjustment</t>
  </si>
  <si>
    <t>Height Adjustment</t>
  </si>
  <si>
    <t>Seat Tilt Adjustment</t>
  </si>
  <si>
    <t>Pan Height Adjustment</t>
  </si>
  <si>
    <t>Pan Tilt Adjustment</t>
  </si>
  <si>
    <t>Lumbar Adjustment</t>
  </si>
  <si>
    <t>Upper Back Adjustment</t>
  </si>
  <si>
    <t>Cushion Extension</t>
  </si>
  <si>
    <t>Side Bolster Adjustment</t>
  </si>
  <si>
    <t>Heated</t>
  </si>
  <si>
    <t>H-point - Horizontal</t>
  </si>
  <si>
    <t>H-point - Vertical</t>
  </si>
  <si>
    <t>ATD ID</t>
  </si>
  <si>
    <t>Pre seatback Angle</t>
  </si>
  <si>
    <t>Value</t>
  </si>
  <si>
    <t>Active</t>
  </si>
  <si>
    <t>Rebound Velocity (m/s)</t>
  </si>
  <si>
    <t xml:space="preserve">Maximum A-P shear force (N) </t>
  </si>
  <si>
    <t>Minimum A-P shear force (N)</t>
  </si>
  <si>
    <t>Tension (N)</t>
  </si>
  <si>
    <t>Compression (N)</t>
  </si>
  <si>
    <t xml:space="preserve">Maximum Neck My (Nm) </t>
  </si>
  <si>
    <t>Minimum Neck My (Nm)</t>
  </si>
  <si>
    <t>Upper Neck</t>
  </si>
  <si>
    <t>Lower Neck</t>
  </si>
  <si>
    <t>Head</t>
  </si>
  <si>
    <t>Maximum T1-X Acceleration (g)</t>
  </si>
  <si>
    <t>T1 - Head Acceleration (g)</t>
  </si>
  <si>
    <t>NIC (m2/s2)</t>
  </si>
  <si>
    <t>NKM - NEA</t>
  </si>
  <si>
    <t>Nij - NCF</t>
  </si>
  <si>
    <t>Nij - NCE</t>
  </si>
  <si>
    <t>Nij - NTE</t>
  </si>
  <si>
    <t>Nij - NTF</t>
  </si>
  <si>
    <t>NKM - NEP</t>
  </si>
  <si>
    <t>NKM - NFA</t>
  </si>
  <si>
    <t>NKM - NFP</t>
  </si>
  <si>
    <t>Head Contact Time (Begin)</t>
  </si>
  <si>
    <t>Head Contact Time (End)</t>
  </si>
  <si>
    <t>Time</t>
  </si>
  <si>
    <t>Injury Measures</t>
  </si>
  <si>
    <t>Maximum Head X Accel. (g)</t>
  </si>
  <si>
    <t>T1</t>
  </si>
  <si>
    <t>Time (sec)*</t>
  </si>
  <si>
    <t>IIWPG Acceleration (g)</t>
  </si>
  <si>
    <t>IIWPG DeltaV (m\s)</t>
  </si>
  <si>
    <t>IIWPG Delta V (km\h)</t>
  </si>
  <si>
    <t>#NV</t>
  </si>
  <si>
    <t>Tension*</t>
  </si>
  <si>
    <t>Shear (Low\Moderate)</t>
  </si>
  <si>
    <t>Shear (Moderate\High)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</si>
</sst>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22" x14ac:knownFonts="1">
    <font>
      <sz val="12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sz val="12"/>
      <color indexed="9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3"/>
      <name val="Arial"/>
      <family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color indexed="19"/>
      <name val="Arial"/>
      <family val="2"/>
    </font>
    <font>
      <b/>
      <sz val="12"/>
      <color indexed="44"/>
      <name val="Arial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indexed="19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3" fillId="0" borderId="0"/>
    <xf numFmtId="0" fontId="13" fillId="0" borderId="0"/>
    <xf numFmtId="0" fontId="2" fillId="0" borderId="0"/>
    <xf numFmtId="0" fontId="1" fillId="0" borderId="0"/>
  </cellStyleXfs>
  <cellXfs count="111">
    <xf numFmtId="0" fontId="0" fillId="0" borderId="0" xfId="0"/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vertical="center"/>
      <protection locked="0"/>
    </xf>
    <xf numFmtId="0" fontId="4" fillId="0" borderId="0" xfId="0" applyFont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2" borderId="0" xfId="0" applyFill="1"/>
    <xf numFmtId="0" fontId="0" fillId="0" borderId="0" xfId="0" applyFill="1"/>
    <xf numFmtId="0" fontId="0" fillId="4" borderId="0" xfId="0" applyFill="1"/>
    <xf numFmtId="2" fontId="0" fillId="4" borderId="0" xfId="0" applyNumberFormat="1" applyFill="1" applyAlignment="1">
      <alignment horizontal="center" vertical="center"/>
    </xf>
    <xf numFmtId="0" fontId="9" fillId="4" borderId="0" xfId="1" applyFont="1" applyFill="1" applyBorder="1" applyAlignment="1">
      <alignment horizontal="center" vertical="center"/>
    </xf>
    <xf numFmtId="0" fontId="9" fillId="4" borderId="0" xfId="1" applyNumberFormat="1" applyFont="1" applyFill="1" applyBorder="1" applyAlignment="1">
      <alignment horizontal="center" vertical="center"/>
    </xf>
    <xf numFmtId="0" fontId="9" fillId="4" borderId="0" xfId="1" applyFont="1" applyFill="1" applyAlignment="1">
      <alignment horizontal="center" vertical="center"/>
    </xf>
    <xf numFmtId="2" fontId="9" fillId="4" borderId="3" xfId="1" applyNumberFormat="1" applyFont="1" applyFill="1" applyBorder="1" applyAlignment="1">
      <alignment horizontal="center" vertical="center"/>
    </xf>
    <xf numFmtId="2" fontId="9" fillId="4" borderId="0" xfId="1" applyNumberFormat="1" applyFont="1" applyFill="1" applyAlignment="1">
      <alignment horizontal="center" vertical="center"/>
    </xf>
    <xf numFmtId="0" fontId="13" fillId="3" borderId="0" xfId="1" applyFont="1" applyFill="1" applyBorder="1"/>
    <xf numFmtId="165" fontId="17" fillId="5" borderId="0" xfId="3" applyNumberFormat="1" applyFont="1" applyFill="1" applyBorder="1" applyAlignment="1">
      <alignment horizontal="left"/>
    </xf>
    <xf numFmtId="0" fontId="0" fillId="5" borderId="0" xfId="0" applyFill="1"/>
    <xf numFmtId="165" fontId="18" fillId="5" borderId="0" xfId="3" applyNumberFormat="1" applyFont="1" applyFill="1" applyBorder="1" applyAlignment="1">
      <alignment horizontal="left"/>
    </xf>
    <xf numFmtId="0" fontId="10" fillId="0" borderId="8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left" indent="2"/>
    </xf>
    <xf numFmtId="0" fontId="11" fillId="0" borderId="0" xfId="0" applyFont="1" applyFill="1" applyBorder="1" applyAlignment="1">
      <alignment horizontal="left" indent="2"/>
    </xf>
    <xf numFmtId="0" fontId="11" fillId="0" borderId="12" xfId="0" applyFont="1" applyFill="1" applyBorder="1" applyAlignment="1">
      <alignment horizontal="left" wrapText="1" indent="2"/>
    </xf>
    <xf numFmtId="0" fontId="11" fillId="0" borderId="13" xfId="0" applyFont="1" applyFill="1" applyBorder="1" applyAlignment="1">
      <alignment horizontal="left" indent="2"/>
    </xf>
    <xf numFmtId="0" fontId="11" fillId="0" borderId="14" xfId="0" applyFont="1" applyFill="1" applyBorder="1" applyAlignment="1">
      <alignment horizontal="left" indent="2"/>
    </xf>
    <xf numFmtId="0" fontId="11" fillId="0" borderId="15" xfId="0" applyFont="1" applyFill="1" applyBorder="1" applyAlignment="1">
      <alignment horizontal="left" wrapText="1" indent="2"/>
    </xf>
    <xf numFmtId="0" fontId="9" fillId="3" borderId="0" xfId="1" applyFont="1" applyFill="1" applyBorder="1" applyAlignment="1">
      <alignment horizontal="center"/>
    </xf>
    <xf numFmtId="0" fontId="19" fillId="2" borderId="0" xfId="1" applyFont="1" applyFill="1" applyBorder="1"/>
    <xf numFmtId="0" fontId="20" fillId="2" borderId="0" xfId="1" applyFont="1" applyFill="1" applyBorder="1" applyAlignment="1">
      <alignment horizontal="center" vertical="center"/>
    </xf>
    <xf numFmtId="0" fontId="20" fillId="2" borderId="0" xfId="1" applyFont="1" applyFill="1" applyBorder="1" applyAlignment="1">
      <alignment horizontal="right" vertical="center"/>
    </xf>
    <xf numFmtId="0" fontId="13" fillId="2" borderId="0" xfId="1" applyFont="1" applyFill="1" applyBorder="1"/>
    <xf numFmtId="0" fontId="13" fillId="5" borderId="0" xfId="1" applyFont="1" applyFill="1" applyBorder="1"/>
    <xf numFmtId="0" fontId="13" fillId="3" borderId="0" xfId="1" applyFont="1" applyFill="1" applyBorder="1" applyAlignment="1">
      <alignment horizontal="right"/>
    </xf>
    <xf numFmtId="0" fontId="13" fillId="0" borderId="19" xfId="1" applyFont="1" applyFill="1" applyBorder="1"/>
    <xf numFmtId="0" fontId="19" fillId="0" borderId="19" xfId="1" applyFont="1" applyFill="1" applyBorder="1"/>
    <xf numFmtId="0" fontId="9" fillId="3" borderId="0" xfId="1" applyFont="1" applyFill="1" applyBorder="1"/>
    <xf numFmtId="0" fontId="9" fillId="3" borderId="0" xfId="1" applyFont="1" applyFill="1" applyBorder="1" applyAlignment="1">
      <alignment horizontal="right"/>
    </xf>
    <xf numFmtId="0" fontId="9" fillId="3" borderId="16" xfId="1" applyFont="1" applyFill="1" applyBorder="1"/>
    <xf numFmtId="0" fontId="9" fillId="3" borderId="18" xfId="1" applyFont="1" applyFill="1" applyBorder="1" applyAlignment="1">
      <alignment horizontal="right"/>
    </xf>
    <xf numFmtId="0" fontId="9" fillId="3" borderId="2" xfId="1" applyFont="1" applyFill="1" applyBorder="1"/>
    <xf numFmtId="0" fontId="9" fillId="3" borderId="7" xfId="1" applyFont="1" applyFill="1" applyBorder="1" applyAlignment="1">
      <alignment horizontal="right"/>
    </xf>
    <xf numFmtId="0" fontId="9" fillId="3" borderId="5" xfId="1" applyFont="1" applyFill="1" applyBorder="1"/>
    <xf numFmtId="0" fontId="9" fillId="3" borderId="4" xfId="1" applyFont="1" applyFill="1" applyBorder="1" applyAlignment="1">
      <alignment horizontal="right"/>
    </xf>
    <xf numFmtId="0" fontId="9" fillId="3" borderId="16" xfId="1" applyFont="1" applyFill="1" applyBorder="1" applyAlignment="1">
      <alignment vertical="center"/>
    </xf>
    <xf numFmtId="0" fontId="9" fillId="3" borderId="2" xfId="1" applyFont="1" applyFill="1" applyBorder="1" applyAlignment="1">
      <alignment vertical="center"/>
    </xf>
    <xf numFmtId="0" fontId="9" fillId="3" borderId="5" xfId="1" applyFont="1" applyFill="1" applyBorder="1" applyAlignment="1">
      <alignment vertical="center"/>
    </xf>
    <xf numFmtId="2" fontId="9" fillId="4" borderId="0" xfId="1" applyNumberFormat="1" applyFont="1" applyFill="1" applyBorder="1" applyAlignment="1">
      <alignment horizontal="center" vertical="center"/>
    </xf>
    <xf numFmtId="164" fontId="9" fillId="4" borderId="0" xfId="1" applyNumberFormat="1" applyFont="1" applyFill="1" applyBorder="1" applyAlignment="1">
      <alignment horizontal="center" vertical="center"/>
    </xf>
    <xf numFmtId="49" fontId="9" fillId="4" borderId="0" xfId="1" applyNumberFormat="1" applyFont="1" applyFill="1" applyBorder="1" applyAlignment="1">
      <alignment horizontal="center" vertical="center"/>
    </xf>
    <xf numFmtId="2" fontId="9" fillId="7" borderId="18" xfId="1" applyNumberFormat="1" applyFont="1" applyFill="1" applyBorder="1" applyAlignment="1">
      <alignment horizontal="center"/>
    </xf>
    <xf numFmtId="1" fontId="9" fillId="7" borderId="17" xfId="1" applyNumberFormat="1" applyFont="1" applyFill="1" applyBorder="1" applyAlignment="1">
      <alignment horizontal="center"/>
    </xf>
    <xf numFmtId="2" fontId="9" fillId="7" borderId="7" xfId="1" applyNumberFormat="1" applyFont="1" applyFill="1" applyBorder="1" applyAlignment="1">
      <alignment horizontal="center"/>
    </xf>
    <xf numFmtId="1" fontId="9" fillId="7" borderId="3" xfId="1" applyNumberFormat="1" applyFont="1" applyFill="1" applyBorder="1" applyAlignment="1">
      <alignment horizontal="center"/>
    </xf>
    <xf numFmtId="2" fontId="9" fillId="6" borderId="7" xfId="1" applyNumberFormat="1" applyFont="1" applyFill="1" applyBorder="1" applyAlignment="1">
      <alignment horizontal="center"/>
    </xf>
    <xf numFmtId="2" fontId="9" fillId="6" borderId="4" xfId="1" applyNumberFormat="1" applyFont="1" applyFill="1" applyBorder="1" applyAlignment="1">
      <alignment horizontal="center"/>
    </xf>
    <xf numFmtId="1" fontId="9" fillId="7" borderId="6" xfId="1" applyNumberFormat="1" applyFont="1" applyFill="1" applyBorder="1" applyAlignment="1">
      <alignment horizontal="center"/>
    </xf>
    <xf numFmtId="2" fontId="9" fillId="7" borderId="4" xfId="1" applyNumberFormat="1" applyFont="1" applyFill="1" applyBorder="1" applyAlignment="1">
      <alignment horizontal="center"/>
    </xf>
    <xf numFmtId="2" fontId="9" fillId="3" borderId="7" xfId="1" applyNumberFormat="1" applyFont="1" applyFill="1" applyBorder="1" applyAlignment="1">
      <alignment horizontal="center"/>
    </xf>
    <xf numFmtId="1" fontId="9" fillId="3" borderId="3" xfId="1" applyNumberFormat="1" applyFont="1" applyFill="1" applyBorder="1" applyAlignment="1">
      <alignment horizontal="center"/>
    </xf>
    <xf numFmtId="2" fontId="9" fillId="3" borderId="4" xfId="1" applyNumberFormat="1" applyFont="1" applyFill="1" applyBorder="1" applyAlignment="1">
      <alignment horizontal="center"/>
    </xf>
    <xf numFmtId="1" fontId="9" fillId="3" borderId="6" xfId="1" applyNumberFormat="1" applyFont="1" applyFill="1" applyBorder="1" applyAlignment="1">
      <alignment horizontal="center"/>
    </xf>
    <xf numFmtId="0" fontId="9" fillId="3" borderId="21" xfId="1" applyFont="1" applyFill="1" applyBorder="1"/>
    <xf numFmtId="0" fontId="9" fillId="3" borderId="20" xfId="1" applyFont="1" applyFill="1" applyBorder="1" applyAlignment="1">
      <alignment horizontal="right"/>
    </xf>
    <xf numFmtId="2" fontId="9" fillId="7" borderId="20" xfId="1" applyNumberFormat="1" applyFont="1" applyFill="1" applyBorder="1" applyAlignment="1">
      <alignment horizontal="center"/>
    </xf>
    <xf numFmtId="1" fontId="9" fillId="7" borderId="22" xfId="1" applyNumberFormat="1" applyFont="1" applyFill="1" applyBorder="1" applyAlignment="1">
      <alignment horizontal="center"/>
    </xf>
    <xf numFmtId="49" fontId="21" fillId="0" borderId="0" xfId="5" applyNumberFormat="1" applyFont="1"/>
    <xf numFmtId="0" fontId="1" fillId="0" borderId="0" xfId="5"/>
    <xf numFmtId="14" fontId="9" fillId="4" borderId="0" xfId="1" applyNumberFormat="1" applyFont="1" applyFill="1" applyBorder="1" applyAlignment="1">
      <alignment horizontal="center" vertical="center"/>
    </xf>
    <xf numFmtId="0" fontId="17" fillId="5" borderId="0" xfId="3" applyNumberFormat="1" applyFont="1" applyFill="1" applyBorder="1" applyAlignment="1">
      <alignment horizontal="left"/>
    </xf>
    <xf numFmtId="0" fontId="13" fillId="5" borderId="0" xfId="3" applyNumberFormat="1" applyFont="1" applyFill="1" applyBorder="1" applyAlignment="1">
      <alignment horizontal="left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 vertical="center"/>
    </xf>
    <xf numFmtId="0" fontId="0" fillId="4" borderId="0" xfId="0" applyFill="1" applyAlignment="1" applyProtection="1">
      <alignment horizontal="right" vertical="center"/>
      <protection locked="0"/>
    </xf>
    <xf numFmtId="1" fontId="10" fillId="4" borderId="0" xfId="0" applyNumberFormat="1" applyFont="1" applyFill="1" applyAlignment="1" applyProtection="1">
      <alignment horizontal="center" vertical="center"/>
    </xf>
    <xf numFmtId="0" fontId="10" fillId="3" borderId="0" xfId="0" applyFont="1" applyFill="1" applyAlignment="1" applyProtection="1">
      <alignment horizontal="right" vertical="center"/>
      <protection locked="0"/>
    </xf>
    <xf numFmtId="0" fontId="11" fillId="4" borderId="0" xfId="0" applyFont="1" applyFill="1" applyAlignment="1" applyProtection="1">
      <alignment horizontal="center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15" fillId="2" borderId="0" xfId="0" applyFont="1" applyFill="1" applyAlignment="1" applyProtection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10" fillId="3" borderId="0" xfId="0" applyFont="1" applyFill="1" applyAlignment="1" applyProtection="1">
      <alignment horizontal="center" vertical="center"/>
      <protection locked="0"/>
    </xf>
    <xf numFmtId="0" fontId="6" fillId="3" borderId="0" xfId="0" applyNumberFormat="1" applyFont="1" applyFill="1" applyAlignment="1" applyProtection="1">
      <alignment horizontal="center"/>
    </xf>
    <xf numFmtId="164" fontId="10" fillId="4" borderId="0" xfId="0" applyNumberFormat="1" applyFont="1" applyFill="1" applyAlignment="1" applyProtection="1">
      <alignment horizontal="center" vertical="center"/>
    </xf>
    <xf numFmtId="0" fontId="10" fillId="4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/>
    </xf>
    <xf numFmtId="0" fontId="13" fillId="4" borderId="0" xfId="0" applyFont="1" applyFill="1" applyAlignment="1" applyProtection="1">
      <alignment horizontal="right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9" fillId="3" borderId="0" xfId="1" applyFont="1" applyFill="1" applyBorder="1" applyAlignment="1">
      <alignment horizontal="center"/>
    </xf>
    <xf numFmtId="0" fontId="0" fillId="4" borderId="0" xfId="0" applyFill="1" applyAlignment="1">
      <alignment horizontal="right" vertical="center"/>
    </xf>
    <xf numFmtId="1" fontId="0" fillId="4" borderId="0" xfId="0" applyNumberFormat="1" applyFill="1" applyAlignment="1">
      <alignment horizontal="center" vertical="center"/>
    </xf>
    <xf numFmtId="1" fontId="10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164" fontId="0" fillId="4" borderId="0" xfId="0" applyNumberFormat="1" applyFill="1" applyAlignment="1">
      <alignment horizontal="center" vertical="center"/>
    </xf>
    <xf numFmtId="0" fontId="10" fillId="4" borderId="0" xfId="0" applyFont="1" applyFill="1" applyAlignment="1">
      <alignment horizontal="center" vertical="center" wrapText="1"/>
    </xf>
    <xf numFmtId="164" fontId="10" fillId="4" borderId="0" xfId="0" applyNumberFormat="1" applyFont="1" applyFill="1" applyAlignment="1">
      <alignment horizontal="center" vertical="center"/>
    </xf>
    <xf numFmtId="2" fontId="9" fillId="2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2" fontId="10" fillId="4" borderId="0" xfId="0" applyNumberFormat="1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6">
    <cellStyle name="Normal" xfId="0" builtinId="0"/>
    <cellStyle name="Normal 2" xfId="2"/>
    <cellStyle name="Normal 3" xfId="4"/>
    <cellStyle name="Normal 4" xfId="5"/>
    <cellStyle name="Normal_CEPLOTS orig" xfId="3"/>
    <cellStyle name="Normal_SR comparison" xfId="1"/>
  </cellStyles>
  <dxfs count="11">
    <dxf>
      <font>
        <condense val="0"/>
        <extend val="0"/>
        <color indexed="10"/>
      </font>
    </dxf>
    <dxf>
      <font>
        <condense val="0"/>
        <extend val="0"/>
        <color indexed="11"/>
      </font>
    </dxf>
    <dxf>
      <font>
        <condense val="0"/>
        <extend val="0"/>
        <color indexed="10"/>
      </font>
    </dxf>
    <dxf>
      <font>
        <condense val="0"/>
        <extend val="0"/>
        <color indexed="53"/>
      </font>
    </dxf>
    <dxf>
      <font>
        <condense val="0"/>
        <extend val="0"/>
        <color indexed="11"/>
      </font>
    </dxf>
    <dxf>
      <font>
        <condense val="0"/>
        <extend val="0"/>
        <color indexed="53"/>
      </font>
    </dxf>
    <dxf>
      <font>
        <condense val="0"/>
        <extend val="0"/>
        <color indexed="13"/>
      </font>
    </dxf>
    <dxf>
      <font>
        <b/>
        <i val="0"/>
        <condense val="0"/>
        <extend val="0"/>
        <color indexed="11"/>
      </font>
    </dxf>
    <dxf>
      <font>
        <condense val="0"/>
        <extend val="0"/>
        <color indexed="53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000066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546777121368667"/>
          <c:y val="7.6056442639253194E-2"/>
          <c:w val="0.77877766234268975"/>
          <c:h val="0.729578468280243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'Neck Force Corridors'!$B$1</c:f>
              <c:strCache>
                <c:ptCount val="1"/>
                <c:pt idx="0">
                  <c:v>Shear (Low\Moderate)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'Neck Force Corridors'!$A$2:$A$752</c:f>
              <c:numCache>
                <c:formatCode>General</c:formatCode>
                <c:ptCount val="7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</c:numCache>
            </c:numRef>
          </c:xVal>
          <c:yVal>
            <c:numRef>
              <c:f>'Neck Force Corridors'!$B$2:$B$752</c:f>
              <c:numCache>
                <c:formatCode>General</c:formatCode>
                <c:ptCount val="7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150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150</c:v>
                </c:pt>
                <c:pt idx="72">
                  <c:v>150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150</c:v>
                </c:pt>
                <c:pt idx="82">
                  <c:v>150</c:v>
                </c:pt>
                <c:pt idx="83">
                  <c:v>150</c:v>
                </c:pt>
                <c:pt idx="84">
                  <c:v>150</c:v>
                </c:pt>
                <c:pt idx="85">
                  <c:v>150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150</c:v>
                </c:pt>
                <c:pt idx="142">
                  <c:v>150</c:v>
                </c:pt>
                <c:pt idx="143">
                  <c:v>150</c:v>
                </c:pt>
                <c:pt idx="144">
                  <c:v>150</c:v>
                </c:pt>
                <c:pt idx="145">
                  <c:v>150</c:v>
                </c:pt>
                <c:pt idx="146">
                  <c:v>150</c:v>
                </c:pt>
                <c:pt idx="147">
                  <c:v>150</c:v>
                </c:pt>
                <c:pt idx="148">
                  <c:v>150</c:v>
                </c:pt>
                <c:pt idx="149">
                  <c:v>150</c:v>
                </c:pt>
                <c:pt idx="150">
                  <c:v>150</c:v>
                </c:pt>
                <c:pt idx="151">
                  <c:v>150</c:v>
                </c:pt>
                <c:pt idx="152">
                  <c:v>150</c:v>
                </c:pt>
                <c:pt idx="153">
                  <c:v>150</c:v>
                </c:pt>
                <c:pt idx="154">
                  <c:v>150</c:v>
                </c:pt>
                <c:pt idx="155">
                  <c:v>150</c:v>
                </c:pt>
                <c:pt idx="156">
                  <c:v>150</c:v>
                </c:pt>
                <c:pt idx="157">
                  <c:v>150</c:v>
                </c:pt>
                <c:pt idx="158">
                  <c:v>150</c:v>
                </c:pt>
                <c:pt idx="159">
                  <c:v>150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150</c:v>
                </c:pt>
                <c:pt idx="166">
                  <c:v>150</c:v>
                </c:pt>
                <c:pt idx="167">
                  <c:v>150</c:v>
                </c:pt>
                <c:pt idx="168">
                  <c:v>150</c:v>
                </c:pt>
                <c:pt idx="169">
                  <c:v>150</c:v>
                </c:pt>
                <c:pt idx="170">
                  <c:v>150</c:v>
                </c:pt>
                <c:pt idx="171">
                  <c:v>150</c:v>
                </c:pt>
                <c:pt idx="172">
                  <c:v>150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150</c:v>
                </c:pt>
                <c:pt idx="178">
                  <c:v>150</c:v>
                </c:pt>
                <c:pt idx="179">
                  <c:v>150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150</c:v>
                </c:pt>
                <c:pt idx="222">
                  <c:v>150</c:v>
                </c:pt>
                <c:pt idx="223">
                  <c:v>150</c:v>
                </c:pt>
                <c:pt idx="224">
                  <c:v>150</c:v>
                </c:pt>
                <c:pt idx="225">
                  <c:v>150</c:v>
                </c:pt>
                <c:pt idx="226">
                  <c:v>150</c:v>
                </c:pt>
                <c:pt idx="227">
                  <c:v>150</c:v>
                </c:pt>
                <c:pt idx="228">
                  <c:v>150</c:v>
                </c:pt>
                <c:pt idx="229">
                  <c:v>150</c:v>
                </c:pt>
                <c:pt idx="230">
                  <c:v>150</c:v>
                </c:pt>
                <c:pt idx="231">
                  <c:v>150</c:v>
                </c:pt>
                <c:pt idx="232">
                  <c:v>150</c:v>
                </c:pt>
                <c:pt idx="233">
                  <c:v>150</c:v>
                </c:pt>
                <c:pt idx="234">
                  <c:v>150</c:v>
                </c:pt>
                <c:pt idx="235">
                  <c:v>149.99971831594246</c:v>
                </c:pt>
                <c:pt idx="236">
                  <c:v>149.99887326059604</c:v>
                </c:pt>
                <c:pt idx="237">
                  <c:v>149.99746482443891</c:v>
                </c:pt>
                <c:pt idx="238">
                  <c:v>149.99549299160091</c:v>
                </c:pt>
                <c:pt idx="239">
                  <c:v>149.99295773986256</c:v>
                </c:pt>
                <c:pt idx="240">
                  <c:v>149.98985904065367</c:v>
                </c:pt>
                <c:pt idx="241">
                  <c:v>149.98619685905197</c:v>
                </c:pt>
                <c:pt idx="242">
                  <c:v>149.98197115378105</c:v>
                </c:pt>
                <c:pt idx="243">
                  <c:v>149.9771818772079</c:v>
                </c:pt>
                <c:pt idx="244">
                  <c:v>149.97182897534046</c:v>
                </c:pt>
                <c:pt idx="245">
                  <c:v>149.96591238782432</c:v>
                </c:pt>
                <c:pt idx="246">
                  <c:v>149.9594320479396</c:v>
                </c:pt>
                <c:pt idx="247">
                  <c:v>149.95238788259695</c:v>
                </c:pt>
                <c:pt idx="248">
                  <c:v>149.94477981233348</c:v>
                </c:pt>
                <c:pt idx="249">
                  <c:v>149.9366077513084</c:v>
                </c:pt>
                <c:pt idx="250">
                  <c:v>149.92787160729799</c:v>
                </c:pt>
                <c:pt idx="251">
                  <c:v>149.9185712816905</c:v>
                </c:pt>
                <c:pt idx="252">
                  <c:v>149.90870666948064</c:v>
                </c:pt>
                <c:pt idx="253">
                  <c:v>149.89827765926341</c:v>
                </c:pt>
                <c:pt idx="254">
                  <c:v>149.88728413322806</c:v>
                </c:pt>
                <c:pt idx="255">
                  <c:v>149.87572596715131</c:v>
                </c:pt>
                <c:pt idx="256">
                  <c:v>149.86360303039029</c:v>
                </c:pt>
                <c:pt idx="257">
                  <c:v>149.85091518587515</c:v>
                </c:pt>
                <c:pt idx="258">
                  <c:v>149.83766229010138</c:v>
                </c:pt>
                <c:pt idx="259">
                  <c:v>149.82384419312154</c:v>
                </c:pt>
                <c:pt idx="260">
                  <c:v>149.8094607385369</c:v>
                </c:pt>
                <c:pt idx="261">
                  <c:v>149.79451176348843</c:v>
                </c:pt>
                <c:pt idx="262">
                  <c:v>149.77899709864761</c:v>
                </c:pt>
                <c:pt idx="263">
                  <c:v>149.76291656820683</c:v>
                </c:pt>
                <c:pt idx="264">
                  <c:v>149.74626998986938</c:v>
                </c:pt>
                <c:pt idx="265">
                  <c:v>149.72905717483897</c:v>
                </c:pt>
                <c:pt idx="266">
                  <c:v>149.71127792780916</c:v>
                </c:pt>
                <c:pt idx="267">
                  <c:v>149.69293204695208</c:v>
                </c:pt>
                <c:pt idx="268">
                  <c:v>149.67401932390698</c:v>
                </c:pt>
                <c:pt idx="269">
                  <c:v>149.65453954376835</c:v>
                </c:pt>
                <c:pt idx="270">
                  <c:v>149.63449248507359</c:v>
                </c:pt>
                <c:pt idx="271">
                  <c:v>149.61387791979038</c:v>
                </c:pt>
                <c:pt idx="272">
                  <c:v>149.59269561330365</c:v>
                </c:pt>
                <c:pt idx="273">
                  <c:v>149.57094532440203</c:v>
                </c:pt>
                <c:pt idx="274">
                  <c:v>149.54862680526421</c:v>
                </c:pt>
                <c:pt idx="275">
                  <c:v>149.5257398014445</c:v>
                </c:pt>
                <c:pt idx="276">
                  <c:v>149.5022840518584</c:v>
                </c:pt>
                <c:pt idx="277">
                  <c:v>149.47825928876748</c:v>
                </c:pt>
                <c:pt idx="278">
                  <c:v>149.453665237764</c:v>
                </c:pt>
                <c:pt idx="279">
                  <c:v>149.42850161775505</c:v>
                </c:pt>
                <c:pt idx="280">
                  <c:v>149.40276814094642</c:v>
                </c:pt>
                <c:pt idx="281">
                  <c:v>149.37646451282592</c:v>
                </c:pt>
                <c:pt idx="282">
                  <c:v>149.34959043214636</c:v>
                </c:pt>
                <c:pt idx="283">
                  <c:v>149.32214559090812</c:v>
                </c:pt>
                <c:pt idx="284">
                  <c:v>149.29412967434129</c:v>
                </c:pt>
                <c:pt idx="285">
                  <c:v>149.26554236088745</c:v>
                </c:pt>
                <c:pt idx="286">
                  <c:v>149.2363833221809</c:v>
                </c:pt>
                <c:pt idx="287">
                  <c:v>149.20665222302964</c:v>
                </c:pt>
                <c:pt idx="288">
                  <c:v>149.17634872139578</c:v>
                </c:pt>
                <c:pt idx="289">
                  <c:v>149.14547246837577</c:v>
                </c:pt>
                <c:pt idx="290">
                  <c:v>149.11402310817974</c:v>
                </c:pt>
                <c:pt idx="291">
                  <c:v>149.08200027811091</c:v>
                </c:pt>
                <c:pt idx="292">
                  <c:v>149.04940360854431</c:v>
                </c:pt>
                <c:pt idx="293">
                  <c:v>149.01623272290502</c:v>
                </c:pt>
                <c:pt idx="294">
                  <c:v>148.98248723764621</c:v>
                </c:pt>
                <c:pt idx="295">
                  <c:v>148.94816676222644</c:v>
                </c:pt>
                <c:pt idx="296">
                  <c:v>148.91327089908674</c:v>
                </c:pt>
                <c:pt idx="297">
                  <c:v>148.87779924362712</c:v>
                </c:pt>
                <c:pt idx="298">
                  <c:v>148.84175138418277</c:v>
                </c:pt>
                <c:pt idx="299">
                  <c:v>148.8051269019995</c:v>
                </c:pt>
                <c:pt idx="300">
                  <c:v>148.76792537120915</c:v>
                </c:pt>
                <c:pt idx="301">
                  <c:v>148.73014635880415</c:v>
                </c:pt>
                <c:pt idx="302">
                  <c:v>148.69178942461193</c:v>
                </c:pt>
                <c:pt idx="303">
                  <c:v>148.65285412126852</c:v>
                </c:pt>
                <c:pt idx="304">
                  <c:v>148.61333999419202</c:v>
                </c:pt>
                <c:pt idx="305">
                  <c:v>148.57324658155542</c:v>
                </c:pt>
                <c:pt idx="306">
                  <c:v>148.53257341425885</c:v>
                </c:pt>
                <c:pt idx="307">
                  <c:v>148.49132001590161</c:v>
                </c:pt>
                <c:pt idx="308">
                  <c:v>148.44948590275339</c:v>
                </c:pt>
                <c:pt idx="309">
                  <c:v>148.40707058372533</c:v>
                </c:pt>
                <c:pt idx="310">
                  <c:v>148.3640735603403</c:v>
                </c:pt>
                <c:pt idx="311">
                  <c:v>148.32049432670277</c:v>
                </c:pt>
                <c:pt idx="312">
                  <c:v>148.27633236946835</c:v>
                </c:pt>
                <c:pt idx="313">
                  <c:v>148.23158716781253</c:v>
                </c:pt>
                <c:pt idx="314">
                  <c:v>148.18625819339908</c:v>
                </c:pt>
                <c:pt idx="315">
                  <c:v>148.14034491034789</c:v>
                </c:pt>
                <c:pt idx="316">
                  <c:v>148.09384677520239</c:v>
                </c:pt>
                <c:pt idx="317">
                  <c:v>148.04676323689614</c:v>
                </c:pt>
                <c:pt idx="318">
                  <c:v>147.99909373671926</c:v>
                </c:pt>
                <c:pt idx="319">
                  <c:v>147.95083770828407</c:v>
                </c:pt>
                <c:pt idx="320">
                  <c:v>147.9019945774904</c:v>
                </c:pt>
                <c:pt idx="321">
                  <c:v>147.85256376248995</c:v>
                </c:pt>
                <c:pt idx="322">
                  <c:v>147.80254467365063</c:v>
                </c:pt>
                <c:pt idx="323">
                  <c:v>147.75193671351994</c:v>
                </c:pt>
                <c:pt idx="324">
                  <c:v>147.70073927678791</c:v>
                </c:pt>
                <c:pt idx="325">
                  <c:v>147.64895175024961</c:v>
                </c:pt>
                <c:pt idx="326">
                  <c:v>147.59657351276681</c:v>
                </c:pt>
                <c:pt idx="327">
                  <c:v>147.54360393522921</c:v>
                </c:pt>
                <c:pt idx="328">
                  <c:v>147.49004238051518</c:v>
                </c:pt>
                <c:pt idx="329">
                  <c:v>147.43588820345175</c:v>
                </c:pt>
                <c:pt idx="330">
                  <c:v>147.38114075077399</c:v>
                </c:pt>
                <c:pt idx="331">
                  <c:v>147.32579936108397</c:v>
                </c:pt>
                <c:pt idx="332">
                  <c:v>147.2698633648088</c:v>
                </c:pt>
                <c:pt idx="333">
                  <c:v>147.21333208415845</c:v>
                </c:pt>
                <c:pt idx="334">
                  <c:v>147.15620483308254</c:v>
                </c:pt>
                <c:pt idx="335">
                  <c:v>147.09848091722688</c:v>
                </c:pt>
                <c:pt idx="336">
                  <c:v>147.04015963388895</c:v>
                </c:pt>
                <c:pt idx="337">
                  <c:v>146.98124027197318</c:v>
                </c:pt>
                <c:pt idx="338">
                  <c:v>146.92172211194517</c:v>
                </c:pt>
                <c:pt idx="339">
                  <c:v>146.86160442578569</c:v>
                </c:pt>
                <c:pt idx="340">
                  <c:v>146.80088647694345</c:v>
                </c:pt>
                <c:pt idx="341">
                  <c:v>146.73956752028781</c:v>
                </c:pt>
                <c:pt idx="342">
                  <c:v>146.67764680206028</c:v>
                </c:pt>
                <c:pt idx="343">
                  <c:v>146.61512355982569</c:v>
                </c:pt>
                <c:pt idx="344">
                  <c:v>146.55199702242251</c:v>
                </c:pt>
                <c:pt idx="345">
                  <c:v>146.48826640991251</c:v>
                </c:pt>
                <c:pt idx="346">
                  <c:v>146.42393093352959</c:v>
                </c:pt>
                <c:pt idx="347">
                  <c:v>146.35898979562805</c:v>
                </c:pt>
                <c:pt idx="348">
                  <c:v>146.2934421896301</c:v>
                </c:pt>
                <c:pt idx="349">
                  <c:v>146.22728729997252</c:v>
                </c:pt>
                <c:pt idx="350">
                  <c:v>146.16052430205272</c:v>
                </c:pt>
                <c:pt idx="351">
                  <c:v>146.09315236217392</c:v>
                </c:pt>
                <c:pt idx="352">
                  <c:v>146.02517063748957</c:v>
                </c:pt>
                <c:pt idx="353">
                  <c:v>145.95657827594724</c:v>
                </c:pt>
                <c:pt idx="354">
                  <c:v>145.8873744162313</c:v>
                </c:pt>
                <c:pt idx="355">
                  <c:v>145.81755818770512</c:v>
                </c:pt>
                <c:pt idx="356">
                  <c:v>145.74712871035251</c:v>
                </c:pt>
                <c:pt idx="357">
                  <c:v>145.67608509471802</c:v>
                </c:pt>
                <c:pt idx="358">
                  <c:v>145.60442644184678</c:v>
                </c:pt>
                <c:pt idx="359">
                  <c:v>145.53215184322323</c:v>
                </c:pt>
                <c:pt idx="360">
                  <c:v>145.45926038070925</c:v>
                </c:pt>
                <c:pt idx="361">
                  <c:v>145.38575112648124</c:v>
                </c:pt>
                <c:pt idx="362">
                  <c:v>145.3116231429664</c:v>
                </c:pt>
                <c:pt idx="363">
                  <c:v>145.23687548277815</c:v>
                </c:pt>
                <c:pt idx="364">
                  <c:v>145.16150718865072</c:v>
                </c:pt>
                <c:pt idx="365">
                  <c:v>145.08551729337273</c:v>
                </c:pt>
                <c:pt idx="366">
                  <c:v>145.00890481971996</c:v>
                </c:pt>
                <c:pt idx="367">
                  <c:v>144.93166878038704</c:v>
                </c:pt>
                <c:pt idx="368">
                  <c:v>144.85380817791852</c:v>
                </c:pt>
                <c:pt idx="369">
                  <c:v>144.77532200463855</c:v>
                </c:pt>
                <c:pt idx="370">
                  <c:v>144.69620924258012</c:v>
                </c:pt>
                <c:pt idx="371">
                  <c:v>144.61646886341282</c:v>
                </c:pt>
                <c:pt idx="372">
                  <c:v>144.53609982837</c:v>
                </c:pt>
                <c:pt idx="373">
                  <c:v>144.45510108817481</c:v>
                </c:pt>
                <c:pt idx="374">
                  <c:v>144.37347158296518</c:v>
                </c:pt>
                <c:pt idx="375">
                  <c:v>144.29121024221772</c:v>
                </c:pt>
                <c:pt idx="376">
                  <c:v>144.20831598467083</c:v>
                </c:pt>
                <c:pt idx="377">
                  <c:v>144.12478771824658</c:v>
                </c:pt>
                <c:pt idx="378">
                  <c:v>144.04062433997149</c:v>
                </c:pt>
                <c:pt idx="379">
                  <c:v>143.95582473589633</c:v>
                </c:pt>
                <c:pt idx="380">
                  <c:v>143.8703877810149</c:v>
                </c:pt>
                <c:pt idx="381">
                  <c:v>143.78431233918138</c:v>
                </c:pt>
                <c:pt idx="382">
                  <c:v>143.69759726302703</c:v>
                </c:pt>
                <c:pt idx="383">
                  <c:v>143.61024139387533</c:v>
                </c:pt>
                <c:pt idx="384">
                  <c:v>143.5222435616561</c:v>
                </c:pt>
                <c:pt idx="385">
                  <c:v>143.43360258481869</c:v>
                </c:pt>
                <c:pt idx="386">
                  <c:v>143.34431727024358</c:v>
                </c:pt>
                <c:pt idx="387">
                  <c:v>143.25438641315307</c:v>
                </c:pt>
                <c:pt idx="388">
                  <c:v>143.16380879702061</c:v>
                </c:pt>
                <c:pt idx="389">
                  <c:v>143.07258319347895</c:v>
                </c:pt>
                <c:pt idx="390">
                  <c:v>142.98070836222695</c:v>
                </c:pt>
                <c:pt idx="391">
                  <c:v>142.8881830509354</c:v>
                </c:pt>
                <c:pt idx="392">
                  <c:v>142.79500599515103</c:v>
                </c:pt>
                <c:pt idx="393">
                  <c:v>142.70117591819974</c:v>
                </c:pt>
                <c:pt idx="394">
                  <c:v>142.60669153108819</c:v>
                </c:pt>
                <c:pt idx="395">
                  <c:v>142.5115515324041</c:v>
                </c:pt>
                <c:pt idx="396">
                  <c:v>142.4157546082152</c:v>
                </c:pt>
                <c:pt idx="397">
                  <c:v>142.31929943196687</c:v>
                </c:pt>
                <c:pt idx="398">
                  <c:v>142.2221846643782</c:v>
                </c:pt>
                <c:pt idx="399">
                  <c:v>142.12440895333677</c:v>
                </c:pt>
                <c:pt idx="400">
                  <c:v>142.02597093379194</c:v>
                </c:pt>
                <c:pt idx="401">
                  <c:v>141.92686922764656</c:v>
                </c:pt>
                <c:pt idx="402">
                  <c:v>141.82710244364736</c:v>
                </c:pt>
                <c:pt idx="403">
                  <c:v>141.72666917727366</c:v>
                </c:pt>
                <c:pt idx="404">
                  <c:v>141.62556801062465</c:v>
                </c:pt>
                <c:pt idx="405">
                  <c:v>141.52379751230515</c:v>
                </c:pt>
                <c:pt idx="406">
                  <c:v>141.42135623730951</c:v>
                </c:pt>
                <c:pt idx="407">
                  <c:v>141.31824272690426</c:v>
                </c:pt>
                <c:pt idx="408">
                  <c:v>141.21445550850885</c:v>
                </c:pt>
                <c:pt idx="409">
                  <c:v>141.10999309557494</c:v>
                </c:pt>
                <c:pt idx="410">
                  <c:v>141.00485398746372</c:v>
                </c:pt>
                <c:pt idx="411">
                  <c:v>140.89903666932179</c:v>
                </c:pt>
                <c:pt idx="412">
                  <c:v>140.79253961195528</c:v>
                </c:pt>
                <c:pt idx="413">
                  <c:v>140.68536127170185</c:v>
                </c:pt>
                <c:pt idx="414">
                  <c:v>140.57750009030153</c:v>
                </c:pt>
                <c:pt idx="415">
                  <c:v>140.46895449476497</c:v>
                </c:pt>
                <c:pt idx="416">
                  <c:v>140.35972289724057</c:v>
                </c:pt>
                <c:pt idx="417">
                  <c:v>140.24980369487915</c:v>
                </c:pt>
                <c:pt idx="418">
                  <c:v>140.1391952696971</c:v>
                </c:pt>
                <c:pt idx="419">
                  <c:v>140.02789598843734</c:v>
                </c:pt>
                <c:pt idx="420">
                  <c:v>139.91590420242844</c:v>
                </c:pt>
                <c:pt idx="421">
                  <c:v>139.80321824744166</c:v>
                </c:pt>
                <c:pt idx="422">
                  <c:v>139.68983644354611</c:v>
                </c:pt>
                <c:pt idx="423">
                  <c:v>139.57575709496149</c:v>
                </c:pt>
                <c:pt idx="424">
                  <c:v>139.46097848990914</c:v>
                </c:pt>
                <c:pt idx="425">
                  <c:v>139.34549890046065</c:v>
                </c:pt>
                <c:pt idx="426">
                  <c:v>139.22931658238446</c:v>
                </c:pt>
                <c:pt idx="427">
                  <c:v>139.11242977499015</c:v>
                </c:pt>
                <c:pt idx="428">
                  <c:v>138.99483670097055</c:v>
                </c:pt>
                <c:pt idx="429">
                  <c:v>138.87653556624156</c:v>
                </c:pt>
                <c:pt idx="430">
                  <c:v>138.75752455977951</c:v>
                </c:pt>
                <c:pt idx="431">
                  <c:v>138.63780185345644</c:v>
                </c:pt>
                <c:pt idx="432">
                  <c:v>138.51736560187265</c:v>
                </c:pt>
                <c:pt idx="433">
                  <c:v>138.39621394218716</c:v>
                </c:pt>
                <c:pt idx="434">
                  <c:v>138.27434499394528</c:v>
                </c:pt>
                <c:pt idx="435">
                  <c:v>138.15175685890401</c:v>
                </c:pt>
                <c:pt idx="436">
                  <c:v>138.02844762085473</c:v>
                </c:pt>
                <c:pt idx="437">
                  <c:v>137.90441534544325</c:v>
                </c:pt>
                <c:pt idx="438">
                  <c:v>137.7796580799872</c:v>
                </c:pt>
                <c:pt idx="439">
                  <c:v>137.65417385329084</c:v>
                </c:pt>
                <c:pt idx="440">
                  <c:v>137.52796067545691</c:v>
                </c:pt>
                <c:pt idx="441">
                  <c:v>137.40101653769599</c:v>
                </c:pt>
                <c:pt idx="442">
                  <c:v>137.27333941213266</c:v>
                </c:pt>
                <c:pt idx="443">
                  <c:v>137.14492725160895</c:v>
                </c:pt>
                <c:pt idx="444">
                  <c:v>137.01577798948492</c:v>
                </c:pt>
                <c:pt idx="445">
                  <c:v>136.88588953943611</c:v>
                </c:pt>
                <c:pt idx="446">
                  <c:v>136.75525979524798</c:v>
                </c:pt>
                <c:pt idx="447">
                  <c:v>136.62388663060719</c:v>
                </c:pt>
                <c:pt idx="448">
                  <c:v>136.49176789888983</c:v>
                </c:pt>
                <c:pt idx="449">
                  <c:v>136.35890143294642</c:v>
                </c:pt>
                <c:pt idx="450">
                  <c:v>136.22528504488349</c:v>
                </c:pt>
                <c:pt idx="451">
                  <c:v>136.09091652584203</c:v>
                </c:pt>
                <c:pt idx="452">
                  <c:v>135.95579364577227</c:v>
                </c:pt>
                <c:pt idx="453">
                  <c:v>135.81991415320545</c:v>
                </c:pt>
                <c:pt idx="454">
                  <c:v>135.68327577502157</c:v>
                </c:pt>
                <c:pt idx="455">
                  <c:v>135.54587621621397</c:v>
                </c:pt>
                <c:pt idx="456">
                  <c:v>135.40771315964986</c:v>
                </c:pt>
                <c:pt idx="457">
                  <c:v>135.26878426582758</c:v>
                </c:pt>
                <c:pt idx="458">
                  <c:v>135.12908717262974</c:v>
                </c:pt>
                <c:pt idx="459">
                  <c:v>134.98861949507264</c:v>
                </c:pt>
                <c:pt idx="460">
                  <c:v>134.84737882505178</c:v>
                </c:pt>
                <c:pt idx="461">
                  <c:v>134.70536273108323</c:v>
                </c:pt>
                <c:pt idx="462">
                  <c:v>134.56256875804124</c:v>
                </c:pt>
                <c:pt idx="463">
                  <c:v>134.41899442689123</c:v>
                </c:pt>
                <c:pt idx="464">
                  <c:v>134.27463723441903</c:v>
                </c:pt>
                <c:pt idx="465">
                  <c:v>134.12949465295551</c:v>
                </c:pt>
                <c:pt idx="466">
                  <c:v>133.98356413009688</c:v>
                </c:pt>
                <c:pt idx="467">
                  <c:v>133.83684308842064</c:v>
                </c:pt>
                <c:pt idx="468">
                  <c:v>133.68932892519672</c:v>
                </c:pt>
                <c:pt idx="469">
                  <c:v>133.5410190120943</c:v>
                </c:pt>
                <c:pt idx="470">
                  <c:v>133.39191069488359</c:v>
                </c:pt>
                <c:pt idx="471">
                  <c:v>133.24200129313297</c:v>
                </c:pt>
                <c:pt idx="472">
                  <c:v>133.09128809990105</c:v>
                </c:pt>
                <c:pt idx="473">
                  <c:v>132.93976838142399</c:v>
                </c:pt>
                <c:pt idx="474">
                  <c:v>132.78743937679729</c:v>
                </c:pt>
                <c:pt idx="475">
                  <c:v>132.63429829765286</c:v>
                </c:pt>
                <c:pt idx="476">
                  <c:v>132.48034232783021</c:v>
                </c:pt>
                <c:pt idx="477">
                  <c:v>132.32556862304267</c:v>
                </c:pt>
                <c:pt idx="478">
                  <c:v>132.16997431053787</c:v>
                </c:pt>
                <c:pt idx="479">
                  <c:v>132.01355648875264</c:v>
                </c:pt>
                <c:pt idx="480">
                  <c:v>131.85631222696205</c:v>
                </c:pt>
                <c:pt idx="481">
                  <c:v>131.69823856492272</c:v>
                </c:pt>
                <c:pt idx="482">
                  <c:v>131.53933251250999</c:v>
                </c:pt>
                <c:pt idx="483">
                  <c:v>131.3795910493491</c:v>
                </c:pt>
                <c:pt idx="484">
                  <c:v>131.21901112444007</c:v>
                </c:pt>
                <c:pt idx="485">
                  <c:v>131.05758965577624</c:v>
                </c:pt>
                <c:pt idx="486">
                  <c:v>130.89532352995619</c:v>
                </c:pt>
                <c:pt idx="487">
                  <c:v>130.73220960178921</c:v>
                </c:pt>
                <c:pt idx="488">
                  <c:v>130.56824469389394</c:v>
                </c:pt>
                <c:pt idx="489">
                  <c:v>130.40342559629008</c:v>
                </c:pt>
                <c:pt idx="490">
                  <c:v>130.23774906598291</c:v>
                </c:pt>
                <c:pt idx="491">
                  <c:v>130.07121182654092</c:v>
                </c:pt>
                <c:pt idx="492">
                  <c:v>129.9038105676658</c:v>
                </c:pt>
                <c:pt idx="493">
                  <c:v>129.73554194475506</c:v>
                </c:pt>
                <c:pt idx="494">
                  <c:v>129.56640257845692</c:v>
                </c:pt>
                <c:pt idx="495">
                  <c:v>129.39638905421751</c:v>
                </c:pt>
                <c:pt idx="496">
                  <c:v>129.22549792181974</c:v>
                </c:pt>
                <c:pt idx="497">
                  <c:v>129.0537256949145</c:v>
                </c:pt>
                <c:pt idx="498">
                  <c:v>128.88106885054302</c:v>
                </c:pt>
                <c:pt idx="499">
                  <c:v>128.70752382865098</c:v>
                </c:pt>
                <c:pt idx="500">
                  <c:v>128.53308703159388</c:v>
                </c:pt>
                <c:pt idx="501">
                  <c:v>128.3577548236334</c:v>
                </c:pt>
                <c:pt idx="502">
                  <c:v>128.18152353042481</c:v>
                </c:pt>
                <c:pt idx="503">
                  <c:v>128.00438943849505</c:v>
                </c:pt>
                <c:pt idx="504">
                  <c:v>127.82634879471105</c:v>
                </c:pt>
                <c:pt idx="505">
                  <c:v>127.64739780573879</c:v>
                </c:pt>
                <c:pt idx="506">
                  <c:v>127.46753263749206</c:v>
                </c:pt>
                <c:pt idx="507">
                  <c:v>127.28674941457125</c:v>
                </c:pt>
                <c:pt idx="508">
                  <c:v>127.10504421969168</c:v>
                </c:pt>
                <c:pt idx="509">
                  <c:v>126.9224130931014</c:v>
                </c:pt>
                <c:pt idx="510">
                  <c:v>126.73885203198803</c:v>
                </c:pt>
                <c:pt idx="511">
                  <c:v>126.55435698987453</c:v>
                </c:pt>
                <c:pt idx="512">
                  <c:v>126.36892387600376</c:v>
                </c:pt>
                <c:pt idx="513">
                  <c:v>126.18254855471113</c:v>
                </c:pt>
                <c:pt idx="514">
                  <c:v>125.99522684478571</c:v>
                </c:pt>
                <c:pt idx="515">
                  <c:v>125.80695451881887</c:v>
                </c:pt>
                <c:pt idx="516">
                  <c:v>125.61772730254074</c:v>
                </c:pt>
                <c:pt idx="517">
                  <c:v>125.42754087414372</c:v>
                </c:pt>
                <c:pt idx="518">
                  <c:v>125.23639086359312</c:v>
                </c:pt>
                <c:pt idx="519">
                  <c:v>125.04427285192443</c:v>
                </c:pt>
                <c:pt idx="520">
                  <c:v>124.85118237052683</c:v>
                </c:pt>
                <c:pt idx="521">
                  <c:v>124.65711490041294</c:v>
                </c:pt>
                <c:pt idx="522">
                  <c:v>124.46206587147401</c:v>
                </c:pt>
                <c:pt idx="523">
                  <c:v>124.26603066172061</c:v>
                </c:pt>
                <c:pt idx="524">
                  <c:v>124.06900459650838</c:v>
                </c:pt>
                <c:pt idx="525">
                  <c:v>123.87098294774817</c:v>
                </c:pt>
                <c:pt idx="526">
                  <c:v>123.67196093310075</c:v>
                </c:pt>
                <c:pt idx="527">
                  <c:v>123.47193371515509</c:v>
                </c:pt>
                <c:pt idx="528">
                  <c:v>123.27089640059037</c:v>
                </c:pt>
                <c:pt idx="529">
                  <c:v>123.06884403932089</c:v>
                </c:pt>
                <c:pt idx="530">
                  <c:v>122.86577162362376</c:v>
                </c:pt>
                <c:pt idx="531">
                  <c:v>122.66167408724873</c:v>
                </c:pt>
                <c:pt idx="532">
                  <c:v>122.4565463045098</c:v>
                </c:pt>
                <c:pt idx="533">
                  <c:v>122.25038308935829</c:v>
                </c:pt>
                <c:pt idx="534">
                  <c:v>122.04317919443652</c:v>
                </c:pt>
                <c:pt idx="535">
                  <c:v>121.83492931011205</c:v>
                </c:pt>
                <c:pt idx="536">
                  <c:v>121.62562806349175</c:v>
                </c:pt>
                <c:pt idx="537">
                  <c:v>121.4152700174152</c:v>
                </c:pt>
                <c:pt idx="538">
                  <c:v>121.20384966942683</c:v>
                </c:pt>
                <c:pt idx="539">
                  <c:v>120.99136145072664</c:v>
                </c:pt>
                <c:pt idx="540">
                  <c:v>120.77779972509811</c:v>
                </c:pt>
                <c:pt idx="541">
                  <c:v>120.56315878781386</c:v>
                </c:pt>
                <c:pt idx="542">
                  <c:v>120.34743286451732</c:v>
                </c:pt>
                <c:pt idx="543">
                  <c:v>120.13061611008061</c:v>
                </c:pt>
                <c:pt idx="544">
                  <c:v>119.91270260743769</c:v>
                </c:pt>
                <c:pt idx="545">
                  <c:v>119.69368636639197</c:v>
                </c:pt>
                <c:pt idx="546">
                  <c:v>119.47356132239797</c:v>
                </c:pt>
                <c:pt idx="547">
                  <c:v>119.25232133531635</c:v>
                </c:pt>
                <c:pt idx="548">
                  <c:v>119.0299601881412</c:v>
                </c:pt>
                <c:pt idx="549">
                  <c:v>118.80647158569937</c:v>
                </c:pt>
                <c:pt idx="550">
                  <c:v>118.58184915332058</c:v>
                </c:pt>
                <c:pt idx="551">
                  <c:v>118.35608643547799</c:v>
                </c:pt>
                <c:pt idx="552">
                  <c:v>118.12917689439799</c:v>
                </c:pt>
                <c:pt idx="553">
                  <c:v>117.90111390863864</c:v>
                </c:pt>
                <c:pt idx="554">
                  <c:v>117.67189077163572</c:v>
                </c:pt>
                <c:pt idx="555">
                  <c:v>117.44150069021569</c:v>
                </c:pt>
                <c:pt idx="556">
                  <c:v>117.20993678307427</c:v>
                </c:pt>
                <c:pt idx="557">
                  <c:v>116.9771920792202</c:v>
                </c:pt>
                <c:pt idx="558">
                  <c:v>116.74325951638264</c:v>
                </c:pt>
                <c:pt idx="559">
                  <c:v>116.5081319393815</c:v>
                </c:pt>
                <c:pt idx="560">
                  <c:v>116.27180209845964</c:v>
                </c:pt>
                <c:pt idx="561">
                  <c:v>116.03426264757567</c:v>
                </c:pt>
                <c:pt idx="562">
                  <c:v>115.79550614265634</c:v>
                </c:pt>
                <c:pt idx="563">
                  <c:v>115.55552503980728</c:v>
                </c:pt>
                <c:pt idx="564">
                  <c:v>115.31431169348089</c:v>
                </c:pt>
                <c:pt idx="565">
                  <c:v>115.07185835460024</c:v>
                </c:pt>
                <c:pt idx="566">
                  <c:v>114.8281571686373</c:v>
                </c:pt>
                <c:pt idx="567">
                  <c:v>114.58320017364471</c:v>
                </c:pt>
                <c:pt idx="568">
                  <c:v>114.33697929823917</c:v>
                </c:pt>
                <c:pt idx="569">
                  <c:v>114.08948635953529</c:v>
                </c:pt>
                <c:pt idx="570">
                  <c:v>113.84071306102828</c:v>
                </c:pt>
                <c:pt idx="571">
                  <c:v>113.59065099042411</c:v>
                </c:pt>
                <c:pt idx="572">
                  <c:v>113.33929161741518</c:v>
                </c:pt>
                <c:pt idx="573">
                  <c:v>113.08662629140015</c:v>
                </c:pt>
                <c:pt idx="574">
                  <c:v>112.83264623914607</c:v>
                </c:pt>
                <c:pt idx="575">
                  <c:v>112.57734256239108</c:v>
                </c:pt>
                <c:pt idx="576">
                  <c:v>112.32070623538561</c:v>
                </c:pt>
                <c:pt idx="577">
                  <c:v>112.06272810237046</c:v>
                </c:pt>
                <c:pt idx="578">
                  <c:v>111.80339887498948</c:v>
                </c:pt>
                <c:pt idx="579">
                  <c:v>111.54270912963503</c:v>
                </c:pt>
                <c:pt idx="580">
                  <c:v>111.28064930472372</c:v>
                </c:pt>
                <c:pt idx="581">
                  <c:v>111.01720969790057</c:v>
                </c:pt>
                <c:pt idx="582">
                  <c:v>110.7523804631689</c:v>
                </c:pt>
                <c:pt idx="583">
                  <c:v>110.486151607944</c:v>
                </c:pt>
                <c:pt idx="584">
                  <c:v>110.21851299002735</c:v>
                </c:pt>
                <c:pt idx="585">
                  <c:v>109.94945431449965</c:v>
                </c:pt>
                <c:pt idx="586">
                  <c:v>109.67896513052919</c:v>
                </c:pt>
                <c:pt idx="587">
                  <c:v>109.40703482809324</c:v>
                </c:pt>
                <c:pt idx="588">
                  <c:v>109.13365263460925</c:v>
                </c:pt>
                <c:pt idx="589">
                  <c:v>108.8588076114729</c:v>
                </c:pt>
                <c:pt idx="590">
                  <c:v>108.58248865050001</c:v>
                </c:pt>
                <c:pt idx="591">
                  <c:v>108.30468447026857</c:v>
                </c:pt>
                <c:pt idx="592">
                  <c:v>108.02538361235788</c:v>
                </c:pt>
                <c:pt idx="593">
                  <c:v>107.74457443748106</c:v>
                </c:pt>
                <c:pt idx="594">
                  <c:v>107.46224512150718</c:v>
                </c:pt>
                <c:pt idx="595">
                  <c:v>107.17838365136912</c:v>
                </c:pt>
                <c:pt idx="596">
                  <c:v>106.89297782085319</c:v>
                </c:pt>
                <c:pt idx="597">
                  <c:v>106.60601522626635</c:v>
                </c:pt>
                <c:pt idx="598">
                  <c:v>106.31748326197638</c:v>
                </c:pt>
                <c:pt idx="599">
                  <c:v>106.02736911582075</c:v>
                </c:pt>
                <c:pt idx="600">
                  <c:v>105.73565976437914</c:v>
                </c:pt>
                <c:pt idx="601">
                  <c:v>105.44234196810486</c:v>
                </c:pt>
                <c:pt idx="602">
                  <c:v>105.14740226630977</c:v>
                </c:pt>
                <c:pt idx="603">
                  <c:v>104.85082697199739</c:v>
                </c:pt>
                <c:pt idx="604">
                  <c:v>104.55260216653858</c:v>
                </c:pt>
                <c:pt idx="605">
                  <c:v>104.25271369418354</c:v>
                </c:pt>
                <c:pt idx="606">
                  <c:v>103.95114715640469</c:v>
                </c:pt>
                <c:pt idx="607">
                  <c:v>103.64788790606289</c:v>
                </c:pt>
                <c:pt idx="608">
                  <c:v>103.34292104139125</c:v>
                </c:pt>
                <c:pt idx="609">
                  <c:v>103.03623139978893</c:v>
                </c:pt>
                <c:pt idx="610">
                  <c:v>102.72780355141761</c:v>
                </c:pt>
                <c:pt idx="611">
                  <c:v>102.41762179259301</c:v>
                </c:pt>
                <c:pt idx="612">
                  <c:v>102.10567013896325</c:v>
                </c:pt>
                <c:pt idx="613">
                  <c:v>101.79193231846567</c:v>
                </c:pt>
                <c:pt idx="614">
                  <c:v>101.47639176405315</c:v>
                </c:pt>
                <c:pt idx="615">
                  <c:v>101.15903160618073</c:v>
                </c:pt>
                <c:pt idx="616">
                  <c:v>100.83983466504256</c:v>
                </c:pt>
                <c:pt idx="617">
                  <c:v>100.51878344254941</c:v>
                </c:pt>
                <c:pt idx="618">
                  <c:v>100.19586011403538</c:v>
                </c:pt>
                <c:pt idx="619">
                  <c:v>99.87104651968319</c:v>
                </c:pt>
                <c:pt idx="620">
                  <c:v>99.544324155655772</c:v>
                </c:pt>
                <c:pt idx="621">
                  <c:v>99.215674164922149</c:v>
                </c:pt>
                <c:pt idx="622">
                  <c:v>98.885077327764179</c:v>
                </c:pt>
                <c:pt idx="623">
                  <c:v>98.552514051950894</c:v>
                </c:pt>
                <c:pt idx="624">
                  <c:v>98.217964362565723</c:v>
                </c:pt>
                <c:pt idx="625">
                  <c:v>97.881407891471696</c:v>
                </c:pt>
                <c:pt idx="626">
                  <c:v>97.542823866398592</c:v>
                </c:pt>
                <c:pt idx="627">
                  <c:v>97.202191099635385</c:v>
                </c:pt>
                <c:pt idx="628">
                  <c:v>96.859487976310263</c:v>
                </c:pt>
                <c:pt idx="629">
                  <c:v>96.514692442239692</c:v>
                </c:pt>
                <c:pt idx="630">
                  <c:v>96.167781991327118</c:v>
                </c:pt>
                <c:pt idx="631">
                  <c:v>95.818733652490423</c:v>
                </c:pt>
                <c:pt idx="632">
                  <c:v>95.467523976096473</c:v>
                </c:pt>
                <c:pt idx="633">
                  <c:v>95.114129019880025</c:v>
                </c:pt>
                <c:pt idx="634">
                  <c:v>94.758524334322487</c:v>
                </c:pt>
                <c:pt idx="635">
                  <c:v>94.400684947465123</c:v>
                </c:pt>
                <c:pt idx="636">
                  <c:v>94.040585349129572</c:v>
                </c:pt>
                <c:pt idx="637">
                  <c:v>93.678199474517299</c:v>
                </c:pt>
                <c:pt idx="638">
                  <c:v>93.313500687157571</c:v>
                </c:pt>
                <c:pt idx="639">
                  <c:v>92.946461761172159</c:v>
                </c:pt>
                <c:pt idx="640">
                  <c:v>92.577054862822749</c:v>
                </c:pt>
                <c:pt idx="641">
                  <c:v>92.205251531305549</c:v>
                </c:pt>
                <c:pt idx="642">
                  <c:v>91.831022658754762</c:v>
                </c:pt>
                <c:pt idx="643">
                  <c:v>91.454338469414964</c:v>
                </c:pt>
                <c:pt idx="644">
                  <c:v>91.075168497939472</c:v>
                </c:pt>
                <c:pt idx="645">
                  <c:v>90.693481566769734</c:v>
                </c:pt>
                <c:pt idx="646">
                  <c:v>90.309245762546965</c:v>
                </c:pt>
                <c:pt idx="647">
                  <c:v>89.922428411505834</c:v>
                </c:pt>
                <c:pt idx="648">
                  <c:v>89.532996053794875</c:v>
                </c:pt>
                <c:pt idx="649">
                  <c:v>89.140914416666618</c:v>
                </c:pt>
                <c:pt idx="650">
                  <c:v>88.746148386475284</c:v>
                </c:pt>
                <c:pt idx="651">
                  <c:v>88.348661979416946</c:v>
                </c:pt>
                <c:pt idx="652">
                  <c:v>87.948418310941946</c:v>
                </c:pt>
                <c:pt idx="653">
                  <c:v>87.545379563765465</c:v>
                </c:pt>
                <c:pt idx="654">
                  <c:v>87.139506954396268</c:v>
                </c:pt>
                <c:pt idx="655">
                  <c:v>86.730760698099246</c:v>
                </c:pt>
                <c:pt idx="656">
                  <c:v>86.319099972200917</c:v>
                </c:pt>
                <c:pt idx="657">
                  <c:v>85.904482877640618</c:v>
                </c:pt>
                <c:pt idx="658">
                  <c:v>85.486866398664191</c:v>
                </c:pt>
                <c:pt idx="659">
                  <c:v>85.066206360548634</c:v>
                </c:pt>
                <c:pt idx="660">
                  <c:v>84.642457385239027</c:v>
                </c:pt>
                <c:pt idx="661">
                  <c:v>84.215572844769866</c:v>
                </c:pt>
                <c:pt idx="662">
                  <c:v>83.785504812334054</c:v>
                </c:pt>
                <c:pt idx="663">
                  <c:v>83.352204010852276</c:v>
                </c:pt>
                <c:pt idx="664">
                  <c:v>82.915619758885001</c:v>
                </c:pt>
                <c:pt idx="665">
                  <c:v>82.475699913716625</c:v>
                </c:pt>
                <c:pt idx="666">
                  <c:v>82.032390811429153</c:v>
                </c:pt>
                <c:pt idx="667">
                  <c:v>81.585637203767874</c:v>
                </c:pt>
                <c:pt idx="668">
                  <c:v>81.135382191586402</c:v>
                </c:pt>
                <c:pt idx="669">
                  <c:v>80.681567154641542</c:v>
                </c:pt>
                <c:pt idx="670">
                  <c:v>80.22413167748995</c:v>
                </c:pt>
                <c:pt idx="671">
                  <c:v>79.763013471218201</c:v>
                </c:pt>
                <c:pt idx="672">
                  <c:v>79.298148290716071</c:v>
                </c:pt>
                <c:pt idx="673">
                  <c:v>78.829469847178586</c:v>
                </c:pt>
                <c:pt idx="674">
                  <c:v>78.356909715495092</c:v>
                </c:pt>
                <c:pt idx="675">
                  <c:v>77.880397236155886</c:v>
                </c:pt>
                <c:pt idx="676">
                  <c:v>77.399859411272857</c:v>
                </c:pt>
                <c:pt idx="677">
                  <c:v>76.915220794276749</c:v>
                </c:pt>
                <c:pt idx="678">
                  <c:v>76.42640337281388</c:v>
                </c:pt>
                <c:pt idx="679">
                  <c:v>75.933326444321821</c:v>
                </c:pt>
                <c:pt idx="680">
                  <c:v>75.435906483716423</c:v>
                </c:pt>
                <c:pt idx="681">
                  <c:v>74.934057002568935</c:v>
                </c:pt>
                <c:pt idx="682">
                  <c:v>74.427688399094237</c:v>
                </c:pt>
                <c:pt idx="683">
                  <c:v>73.916707798205252</c:v>
                </c:pt>
                <c:pt idx="684">
                  <c:v>73.401018880816792</c:v>
                </c:pt>
                <c:pt idx="685">
                  <c:v>72.880521701501038</c:v>
                </c:pt>
                <c:pt idx="686">
                  <c:v>72.355112493507178</c:v>
                </c:pt>
                <c:pt idx="687">
                  <c:v>71.824683460056903</c:v>
                </c:pt>
                <c:pt idx="688">
                  <c:v>71.289122550714836</c:v>
                </c:pt>
                <c:pt idx="689">
                  <c:v>70.748313221507132</c:v>
                </c:pt>
                <c:pt idx="690">
                  <c:v>70.202134177318968</c:v>
                </c:pt>
                <c:pt idx="691">
                  <c:v>69.650459094942732</c:v>
                </c:pt>
                <c:pt idx="692">
                  <c:v>69.093156324967936</c:v>
                </c:pt>
                <c:pt idx="693">
                  <c:v>68.530088570501633</c:v>
                </c:pt>
                <c:pt idx="694">
                  <c:v>67.961112540476549</c:v>
                </c:pt>
                <c:pt idx="695">
                  <c:v>67.386078575044067</c:v>
                </c:pt>
                <c:pt idx="696">
                  <c:v>66.80483024025196</c:v>
                </c:pt>
                <c:pt idx="697">
                  <c:v>66.217203888868056</c:v>
                </c:pt>
                <c:pt idx="698">
                  <c:v>65.623028183825397</c:v>
                </c:pt>
                <c:pt idx="699">
                  <c:v>65.022123580321008</c:v>
                </c:pt>
                <c:pt idx="700">
                  <c:v>64.414301762093999</c:v>
                </c:pt>
                <c:pt idx="701">
                  <c:v>63.799365026823359</c:v>
                </c:pt>
                <c:pt idx="702">
                  <c:v>63.177105614912207</c:v>
                </c:pt>
                <c:pt idx="703">
                  <c:v>62.547304975145543</c:v>
                </c:pt>
                <c:pt idx="704">
                  <c:v>61.909732959803144</c:v>
                </c:pt>
                <c:pt idx="705">
                  <c:v>61.264146940756319</c:v>
                </c:pt>
                <c:pt idx="706">
                  <c:v>60.610290836847192</c:v>
                </c:pt>
                <c:pt idx="707">
                  <c:v>59.947894041408993</c:v>
                </c:pt>
                <c:pt idx="708">
                  <c:v>59.276670237092198</c:v>
                </c:pt>
                <c:pt idx="709">
                  <c:v>58.596316083164446</c:v>
                </c:pt>
                <c:pt idx="710">
                  <c:v>57.906509758087132</c:v>
                </c:pt>
                <c:pt idx="711">
                  <c:v>57.206909337360088</c:v>
                </c:pt>
                <c:pt idx="712">
                  <c:v>56.497150983271787</c:v>
                </c:pt>
                <c:pt idx="713">
                  <c:v>55.776846919169401</c:v>
                </c:pt>
                <c:pt idx="714">
                  <c:v>55.045583156021522</c:v>
                </c:pt>
                <c:pt idx="715">
                  <c:v>54.302916933187632</c:v>
                </c:pt>
                <c:pt idx="716">
                  <c:v>53.548373828185014</c:v>
                </c:pt>
                <c:pt idx="717">
                  <c:v>52.78144448153725</c:v>
                </c:pt>
                <c:pt idx="718">
                  <c:v>52.001580872088148</c:v>
                </c:pt>
                <c:pt idx="719">
                  <c:v>51.208192064934508</c:v>
                </c:pt>
                <c:pt idx="720">
                  <c:v>50.400639337674022</c:v>
                </c:pt>
                <c:pt idx="721">
                  <c:v>49.578230570055098</c:v>
                </c:pt>
                <c:pt idx="722">
                  <c:v>48.740213756127183</c:v>
                </c:pt>
                <c:pt idx="723">
                  <c:v>47.885769464973301</c:v>
                </c:pt>
                <c:pt idx="724">
                  <c:v>47.014002033823338</c:v>
                </c:pt>
                <c:pt idx="725">
                  <c:v>46.123929222739633</c:v>
                </c:pt>
                <c:pt idx="726">
                  <c:v>45.214469988892041</c:v>
                </c:pt>
                <c:pt idx="727">
                  <c:v>44.284429944764113</c:v>
                </c:pt>
                <c:pt idx="728">
                  <c:v>43.332483940032745</c:v>
                </c:pt>
                <c:pt idx="729">
                  <c:v>42.357155039235671</c:v>
                </c:pt>
                <c:pt idx="730">
                  <c:v>41.356788939020319</c:v>
                </c:pt>
                <c:pt idx="731">
                  <c:v>40.329522553579466</c:v>
                </c:pt>
                <c:pt idx="732">
                  <c:v>39.273245055340809</c:v>
                </c:pt>
                <c:pt idx="733">
                  <c:v>38.185549029419541</c:v>
                </c:pt>
                <c:pt idx="734">
                  <c:v>37.063668489556335</c:v>
                </c:pt>
                <c:pt idx="735">
                  <c:v>35.904399157393435</c:v>
                </c:pt>
                <c:pt idx="736">
                  <c:v>34.703994374240459</c:v>
                </c:pt>
                <c:pt idx="737">
                  <c:v>33.4580268683819</c:v>
                </c:pt>
                <c:pt idx="738">
                  <c:v>32.161201595207729</c:v>
                </c:pt>
                <c:pt idx="739">
                  <c:v>30.807096648239956</c:v>
                </c:pt>
                <c:pt idx="740">
                  <c:v>29.387795246744446</c:v>
                </c:pt>
                <c:pt idx="741">
                  <c:v>27.893346962301411</c:v>
                </c:pt>
                <c:pt idx="742">
                  <c:v>26.310949997638975</c:v>
                </c:pt>
                <c:pt idx="743">
                  <c:v>24.623654572816019</c:v>
                </c:pt>
                <c:pt idx="744">
                  <c:v>22.808192146433775</c:v>
                </c:pt>
                <c:pt idx="745">
                  <c:v>20.831079741100712</c:v>
                </c:pt>
                <c:pt idx="746">
                  <c:v>18.640952955676052</c:v>
                </c:pt>
                <c:pt idx="747">
                  <c:v>16.151388817545442</c:v>
                </c:pt>
                <c:pt idx="748">
                  <c:v>13.193960137104936</c:v>
                </c:pt>
                <c:pt idx="749">
                  <c:v>9.3340664872106682</c:v>
                </c:pt>
                <c:pt idx="7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AA-4BE8-AE33-9A3478868B54}"/>
            </c:ext>
          </c:extLst>
        </c:ser>
        <c:ser>
          <c:idx val="1"/>
          <c:order val="1"/>
          <c:tx>
            <c:strRef>
              <c:f>'Neck Force Corridors'!$C$1</c:f>
              <c:strCache>
                <c:ptCount val="1"/>
                <c:pt idx="0">
                  <c:v>Shear (Moderate\High)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'Neck Force Corridors'!$A$2:$A$1172</c:f>
              <c:numCache>
                <c:formatCode>General</c:formatCode>
                <c:ptCount val="1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</c:numCache>
            </c:numRef>
          </c:xVal>
          <c:yVal>
            <c:numRef>
              <c:f>'Neck Force Corridors'!$C$2:$C$1172</c:f>
              <c:numCache>
                <c:formatCode>General</c:formatCode>
                <c:ptCount val="1171"/>
                <c:pt idx="0">
                  <c:v>260</c:v>
                </c:pt>
                <c:pt idx="1">
                  <c:v>260</c:v>
                </c:pt>
                <c:pt idx="2">
                  <c:v>260</c:v>
                </c:pt>
                <c:pt idx="3">
                  <c:v>260</c:v>
                </c:pt>
                <c:pt idx="4">
                  <c:v>260</c:v>
                </c:pt>
                <c:pt idx="5">
                  <c:v>260</c:v>
                </c:pt>
                <c:pt idx="6">
                  <c:v>260</c:v>
                </c:pt>
                <c:pt idx="7">
                  <c:v>260</c:v>
                </c:pt>
                <c:pt idx="8">
                  <c:v>260</c:v>
                </c:pt>
                <c:pt idx="9">
                  <c:v>260</c:v>
                </c:pt>
                <c:pt idx="10">
                  <c:v>260</c:v>
                </c:pt>
                <c:pt idx="11">
                  <c:v>260</c:v>
                </c:pt>
                <c:pt idx="12">
                  <c:v>260</c:v>
                </c:pt>
                <c:pt idx="13">
                  <c:v>260</c:v>
                </c:pt>
                <c:pt idx="14">
                  <c:v>260</c:v>
                </c:pt>
                <c:pt idx="15">
                  <c:v>260</c:v>
                </c:pt>
                <c:pt idx="16">
                  <c:v>260</c:v>
                </c:pt>
                <c:pt idx="17">
                  <c:v>260</c:v>
                </c:pt>
                <c:pt idx="18">
                  <c:v>260</c:v>
                </c:pt>
                <c:pt idx="19">
                  <c:v>260</c:v>
                </c:pt>
                <c:pt idx="20">
                  <c:v>260</c:v>
                </c:pt>
                <c:pt idx="21">
                  <c:v>260</c:v>
                </c:pt>
                <c:pt idx="22">
                  <c:v>260</c:v>
                </c:pt>
                <c:pt idx="23">
                  <c:v>260</c:v>
                </c:pt>
                <c:pt idx="24">
                  <c:v>260</c:v>
                </c:pt>
                <c:pt idx="25">
                  <c:v>260</c:v>
                </c:pt>
                <c:pt idx="26">
                  <c:v>260</c:v>
                </c:pt>
                <c:pt idx="27">
                  <c:v>260</c:v>
                </c:pt>
                <c:pt idx="28">
                  <c:v>260</c:v>
                </c:pt>
                <c:pt idx="29">
                  <c:v>260</c:v>
                </c:pt>
                <c:pt idx="30">
                  <c:v>260</c:v>
                </c:pt>
                <c:pt idx="31">
                  <c:v>260</c:v>
                </c:pt>
                <c:pt idx="32">
                  <c:v>260</c:v>
                </c:pt>
                <c:pt idx="33">
                  <c:v>260</c:v>
                </c:pt>
                <c:pt idx="34">
                  <c:v>260</c:v>
                </c:pt>
                <c:pt idx="35">
                  <c:v>260</c:v>
                </c:pt>
                <c:pt idx="36">
                  <c:v>260</c:v>
                </c:pt>
                <c:pt idx="37">
                  <c:v>260</c:v>
                </c:pt>
                <c:pt idx="38">
                  <c:v>260</c:v>
                </c:pt>
                <c:pt idx="39">
                  <c:v>260</c:v>
                </c:pt>
                <c:pt idx="40">
                  <c:v>260</c:v>
                </c:pt>
                <c:pt idx="41">
                  <c:v>260</c:v>
                </c:pt>
                <c:pt idx="42">
                  <c:v>260</c:v>
                </c:pt>
                <c:pt idx="43">
                  <c:v>260</c:v>
                </c:pt>
                <c:pt idx="44">
                  <c:v>260</c:v>
                </c:pt>
                <c:pt idx="45">
                  <c:v>260</c:v>
                </c:pt>
                <c:pt idx="46">
                  <c:v>260</c:v>
                </c:pt>
                <c:pt idx="47">
                  <c:v>260</c:v>
                </c:pt>
                <c:pt idx="48">
                  <c:v>260</c:v>
                </c:pt>
                <c:pt idx="49">
                  <c:v>260</c:v>
                </c:pt>
                <c:pt idx="50">
                  <c:v>260</c:v>
                </c:pt>
                <c:pt idx="51">
                  <c:v>260</c:v>
                </c:pt>
                <c:pt idx="52">
                  <c:v>260</c:v>
                </c:pt>
                <c:pt idx="53">
                  <c:v>260</c:v>
                </c:pt>
                <c:pt idx="54">
                  <c:v>260</c:v>
                </c:pt>
                <c:pt idx="55">
                  <c:v>260</c:v>
                </c:pt>
                <c:pt idx="56">
                  <c:v>260</c:v>
                </c:pt>
                <c:pt idx="57">
                  <c:v>260</c:v>
                </c:pt>
                <c:pt idx="58">
                  <c:v>260</c:v>
                </c:pt>
                <c:pt idx="59">
                  <c:v>260</c:v>
                </c:pt>
                <c:pt idx="60">
                  <c:v>260</c:v>
                </c:pt>
                <c:pt idx="61">
                  <c:v>260</c:v>
                </c:pt>
                <c:pt idx="62">
                  <c:v>260</c:v>
                </c:pt>
                <c:pt idx="63">
                  <c:v>260</c:v>
                </c:pt>
                <c:pt idx="64">
                  <c:v>260</c:v>
                </c:pt>
                <c:pt idx="65">
                  <c:v>260</c:v>
                </c:pt>
                <c:pt idx="66">
                  <c:v>260</c:v>
                </c:pt>
                <c:pt idx="67">
                  <c:v>260</c:v>
                </c:pt>
                <c:pt idx="68">
                  <c:v>260</c:v>
                </c:pt>
                <c:pt idx="69">
                  <c:v>260</c:v>
                </c:pt>
                <c:pt idx="70">
                  <c:v>260</c:v>
                </c:pt>
                <c:pt idx="71">
                  <c:v>260</c:v>
                </c:pt>
                <c:pt idx="72">
                  <c:v>260</c:v>
                </c:pt>
                <c:pt idx="73">
                  <c:v>260</c:v>
                </c:pt>
                <c:pt idx="74">
                  <c:v>260</c:v>
                </c:pt>
                <c:pt idx="75">
                  <c:v>260</c:v>
                </c:pt>
                <c:pt idx="76">
                  <c:v>260</c:v>
                </c:pt>
                <c:pt idx="77">
                  <c:v>260</c:v>
                </c:pt>
                <c:pt idx="78">
                  <c:v>260</c:v>
                </c:pt>
                <c:pt idx="79">
                  <c:v>260</c:v>
                </c:pt>
                <c:pt idx="80">
                  <c:v>260</c:v>
                </c:pt>
                <c:pt idx="81">
                  <c:v>260</c:v>
                </c:pt>
                <c:pt idx="82">
                  <c:v>260</c:v>
                </c:pt>
                <c:pt idx="83">
                  <c:v>260</c:v>
                </c:pt>
                <c:pt idx="84">
                  <c:v>260</c:v>
                </c:pt>
                <c:pt idx="85">
                  <c:v>260</c:v>
                </c:pt>
                <c:pt idx="86">
                  <c:v>260</c:v>
                </c:pt>
                <c:pt idx="87">
                  <c:v>260</c:v>
                </c:pt>
                <c:pt idx="88">
                  <c:v>260</c:v>
                </c:pt>
                <c:pt idx="89">
                  <c:v>260</c:v>
                </c:pt>
                <c:pt idx="90">
                  <c:v>260</c:v>
                </c:pt>
                <c:pt idx="91">
                  <c:v>260</c:v>
                </c:pt>
                <c:pt idx="92">
                  <c:v>260</c:v>
                </c:pt>
                <c:pt idx="93">
                  <c:v>260</c:v>
                </c:pt>
                <c:pt idx="94">
                  <c:v>260</c:v>
                </c:pt>
                <c:pt idx="95">
                  <c:v>260</c:v>
                </c:pt>
                <c:pt idx="96">
                  <c:v>260</c:v>
                </c:pt>
                <c:pt idx="97">
                  <c:v>260</c:v>
                </c:pt>
                <c:pt idx="98">
                  <c:v>260</c:v>
                </c:pt>
                <c:pt idx="99">
                  <c:v>260</c:v>
                </c:pt>
                <c:pt idx="100">
                  <c:v>260</c:v>
                </c:pt>
                <c:pt idx="101">
                  <c:v>260</c:v>
                </c:pt>
                <c:pt idx="102">
                  <c:v>260</c:v>
                </c:pt>
                <c:pt idx="103">
                  <c:v>260</c:v>
                </c:pt>
                <c:pt idx="104">
                  <c:v>260</c:v>
                </c:pt>
                <c:pt idx="105">
                  <c:v>260</c:v>
                </c:pt>
                <c:pt idx="106">
                  <c:v>260</c:v>
                </c:pt>
                <c:pt idx="107">
                  <c:v>260</c:v>
                </c:pt>
                <c:pt idx="108">
                  <c:v>260</c:v>
                </c:pt>
                <c:pt idx="109">
                  <c:v>260</c:v>
                </c:pt>
                <c:pt idx="110">
                  <c:v>260</c:v>
                </c:pt>
                <c:pt idx="111">
                  <c:v>260</c:v>
                </c:pt>
                <c:pt idx="112">
                  <c:v>260</c:v>
                </c:pt>
                <c:pt idx="113">
                  <c:v>260</c:v>
                </c:pt>
                <c:pt idx="114">
                  <c:v>260</c:v>
                </c:pt>
                <c:pt idx="115">
                  <c:v>260</c:v>
                </c:pt>
                <c:pt idx="116">
                  <c:v>260</c:v>
                </c:pt>
                <c:pt idx="117">
                  <c:v>260</c:v>
                </c:pt>
                <c:pt idx="118">
                  <c:v>260</c:v>
                </c:pt>
                <c:pt idx="119">
                  <c:v>260</c:v>
                </c:pt>
                <c:pt idx="120">
                  <c:v>260</c:v>
                </c:pt>
                <c:pt idx="121">
                  <c:v>260</c:v>
                </c:pt>
                <c:pt idx="122">
                  <c:v>260</c:v>
                </c:pt>
                <c:pt idx="123">
                  <c:v>260</c:v>
                </c:pt>
                <c:pt idx="124">
                  <c:v>260</c:v>
                </c:pt>
                <c:pt idx="125">
                  <c:v>260</c:v>
                </c:pt>
                <c:pt idx="126">
                  <c:v>260</c:v>
                </c:pt>
                <c:pt idx="127">
                  <c:v>260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260</c:v>
                </c:pt>
                <c:pt idx="133">
                  <c:v>260</c:v>
                </c:pt>
                <c:pt idx="134">
                  <c:v>260</c:v>
                </c:pt>
                <c:pt idx="135">
                  <c:v>260</c:v>
                </c:pt>
                <c:pt idx="136">
                  <c:v>260</c:v>
                </c:pt>
                <c:pt idx="137">
                  <c:v>260</c:v>
                </c:pt>
                <c:pt idx="138">
                  <c:v>260</c:v>
                </c:pt>
                <c:pt idx="139">
                  <c:v>260</c:v>
                </c:pt>
                <c:pt idx="140">
                  <c:v>260</c:v>
                </c:pt>
                <c:pt idx="141">
                  <c:v>260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260</c:v>
                </c:pt>
                <c:pt idx="146">
                  <c:v>260</c:v>
                </c:pt>
                <c:pt idx="147">
                  <c:v>260</c:v>
                </c:pt>
                <c:pt idx="148">
                  <c:v>260</c:v>
                </c:pt>
                <c:pt idx="149">
                  <c:v>260</c:v>
                </c:pt>
                <c:pt idx="150">
                  <c:v>260</c:v>
                </c:pt>
                <c:pt idx="151">
                  <c:v>260</c:v>
                </c:pt>
                <c:pt idx="152">
                  <c:v>260</c:v>
                </c:pt>
                <c:pt idx="153">
                  <c:v>260</c:v>
                </c:pt>
                <c:pt idx="154">
                  <c:v>260</c:v>
                </c:pt>
                <c:pt idx="155">
                  <c:v>260</c:v>
                </c:pt>
                <c:pt idx="156">
                  <c:v>260</c:v>
                </c:pt>
                <c:pt idx="157">
                  <c:v>260</c:v>
                </c:pt>
                <c:pt idx="158">
                  <c:v>260</c:v>
                </c:pt>
                <c:pt idx="159">
                  <c:v>260</c:v>
                </c:pt>
                <c:pt idx="160">
                  <c:v>260</c:v>
                </c:pt>
                <c:pt idx="161">
                  <c:v>260</c:v>
                </c:pt>
                <c:pt idx="162">
                  <c:v>260</c:v>
                </c:pt>
                <c:pt idx="163">
                  <c:v>260</c:v>
                </c:pt>
                <c:pt idx="164">
                  <c:v>260</c:v>
                </c:pt>
                <c:pt idx="165">
                  <c:v>260</c:v>
                </c:pt>
                <c:pt idx="166">
                  <c:v>260</c:v>
                </c:pt>
                <c:pt idx="167">
                  <c:v>260</c:v>
                </c:pt>
                <c:pt idx="168">
                  <c:v>260</c:v>
                </c:pt>
                <c:pt idx="169">
                  <c:v>260</c:v>
                </c:pt>
                <c:pt idx="170">
                  <c:v>260</c:v>
                </c:pt>
                <c:pt idx="171">
                  <c:v>260</c:v>
                </c:pt>
                <c:pt idx="172">
                  <c:v>260</c:v>
                </c:pt>
                <c:pt idx="173">
                  <c:v>260</c:v>
                </c:pt>
                <c:pt idx="174">
                  <c:v>260</c:v>
                </c:pt>
                <c:pt idx="175">
                  <c:v>260</c:v>
                </c:pt>
                <c:pt idx="176">
                  <c:v>260</c:v>
                </c:pt>
                <c:pt idx="177">
                  <c:v>260</c:v>
                </c:pt>
                <c:pt idx="178">
                  <c:v>260</c:v>
                </c:pt>
                <c:pt idx="179">
                  <c:v>260</c:v>
                </c:pt>
                <c:pt idx="180">
                  <c:v>260</c:v>
                </c:pt>
                <c:pt idx="181">
                  <c:v>260</c:v>
                </c:pt>
                <c:pt idx="182">
                  <c:v>260</c:v>
                </c:pt>
                <c:pt idx="183">
                  <c:v>260</c:v>
                </c:pt>
                <c:pt idx="184">
                  <c:v>260</c:v>
                </c:pt>
                <c:pt idx="185">
                  <c:v>260</c:v>
                </c:pt>
                <c:pt idx="186">
                  <c:v>260</c:v>
                </c:pt>
                <c:pt idx="187">
                  <c:v>260</c:v>
                </c:pt>
                <c:pt idx="188">
                  <c:v>260</c:v>
                </c:pt>
                <c:pt idx="189">
                  <c:v>260</c:v>
                </c:pt>
                <c:pt idx="190">
                  <c:v>260</c:v>
                </c:pt>
                <c:pt idx="191">
                  <c:v>260</c:v>
                </c:pt>
                <c:pt idx="192">
                  <c:v>260</c:v>
                </c:pt>
                <c:pt idx="193">
                  <c:v>260</c:v>
                </c:pt>
                <c:pt idx="194">
                  <c:v>260</c:v>
                </c:pt>
                <c:pt idx="195">
                  <c:v>260</c:v>
                </c:pt>
                <c:pt idx="196">
                  <c:v>260</c:v>
                </c:pt>
                <c:pt idx="197">
                  <c:v>260</c:v>
                </c:pt>
                <c:pt idx="198">
                  <c:v>260</c:v>
                </c:pt>
                <c:pt idx="199">
                  <c:v>260</c:v>
                </c:pt>
                <c:pt idx="200">
                  <c:v>260</c:v>
                </c:pt>
                <c:pt idx="201">
                  <c:v>260</c:v>
                </c:pt>
                <c:pt idx="202">
                  <c:v>260</c:v>
                </c:pt>
                <c:pt idx="203">
                  <c:v>260</c:v>
                </c:pt>
                <c:pt idx="204">
                  <c:v>260</c:v>
                </c:pt>
                <c:pt idx="205">
                  <c:v>260</c:v>
                </c:pt>
                <c:pt idx="206">
                  <c:v>260</c:v>
                </c:pt>
                <c:pt idx="207">
                  <c:v>260</c:v>
                </c:pt>
                <c:pt idx="208">
                  <c:v>260</c:v>
                </c:pt>
                <c:pt idx="209">
                  <c:v>260</c:v>
                </c:pt>
                <c:pt idx="210">
                  <c:v>260</c:v>
                </c:pt>
                <c:pt idx="211">
                  <c:v>260</c:v>
                </c:pt>
                <c:pt idx="212">
                  <c:v>260</c:v>
                </c:pt>
                <c:pt idx="213">
                  <c:v>260</c:v>
                </c:pt>
                <c:pt idx="214">
                  <c:v>260</c:v>
                </c:pt>
                <c:pt idx="215">
                  <c:v>260</c:v>
                </c:pt>
                <c:pt idx="216">
                  <c:v>260</c:v>
                </c:pt>
                <c:pt idx="217">
                  <c:v>260</c:v>
                </c:pt>
                <c:pt idx="218">
                  <c:v>260</c:v>
                </c:pt>
                <c:pt idx="219">
                  <c:v>260</c:v>
                </c:pt>
                <c:pt idx="220">
                  <c:v>260</c:v>
                </c:pt>
                <c:pt idx="221">
                  <c:v>260</c:v>
                </c:pt>
                <c:pt idx="222">
                  <c:v>260</c:v>
                </c:pt>
                <c:pt idx="223">
                  <c:v>260</c:v>
                </c:pt>
                <c:pt idx="224">
                  <c:v>260</c:v>
                </c:pt>
                <c:pt idx="225">
                  <c:v>260</c:v>
                </c:pt>
                <c:pt idx="226">
                  <c:v>260</c:v>
                </c:pt>
                <c:pt idx="227">
                  <c:v>260</c:v>
                </c:pt>
                <c:pt idx="228">
                  <c:v>260</c:v>
                </c:pt>
                <c:pt idx="229">
                  <c:v>260</c:v>
                </c:pt>
                <c:pt idx="230">
                  <c:v>260</c:v>
                </c:pt>
                <c:pt idx="231">
                  <c:v>260</c:v>
                </c:pt>
                <c:pt idx="232">
                  <c:v>260</c:v>
                </c:pt>
                <c:pt idx="233">
                  <c:v>260</c:v>
                </c:pt>
                <c:pt idx="234">
                  <c:v>260</c:v>
                </c:pt>
                <c:pt idx="235">
                  <c:v>260</c:v>
                </c:pt>
                <c:pt idx="236">
                  <c:v>260</c:v>
                </c:pt>
                <c:pt idx="237">
                  <c:v>260</c:v>
                </c:pt>
                <c:pt idx="238">
                  <c:v>260</c:v>
                </c:pt>
                <c:pt idx="239">
                  <c:v>260</c:v>
                </c:pt>
                <c:pt idx="240">
                  <c:v>260</c:v>
                </c:pt>
                <c:pt idx="241">
                  <c:v>260</c:v>
                </c:pt>
                <c:pt idx="242">
                  <c:v>260</c:v>
                </c:pt>
                <c:pt idx="243">
                  <c:v>260</c:v>
                </c:pt>
                <c:pt idx="244">
                  <c:v>259.9851610200422</c:v>
                </c:pt>
                <c:pt idx="245">
                  <c:v>259.9820447266444</c:v>
                </c:pt>
                <c:pt idx="246">
                  <c:v>259.97863160053919</c:v>
                </c:pt>
                <c:pt idx="247">
                  <c:v>259.97492163003574</c:v>
                </c:pt>
                <c:pt idx="248">
                  <c:v>259.97091480242528</c:v>
                </c:pt>
                <c:pt idx="249">
                  <c:v>259.96661110398179</c:v>
                </c:pt>
                <c:pt idx="250">
                  <c:v>259.96201051996087</c:v>
                </c:pt>
                <c:pt idx="251">
                  <c:v>259.9571130346003</c:v>
                </c:pt>
                <c:pt idx="252">
                  <c:v>259.95191863111916</c:v>
                </c:pt>
                <c:pt idx="253">
                  <c:v>259.94642729171795</c:v>
                </c:pt>
                <c:pt idx="254">
                  <c:v>259.94063899757793</c:v>
                </c:pt>
                <c:pt idx="255">
                  <c:v>259.9345537288612</c:v>
                </c:pt>
                <c:pt idx="256">
                  <c:v>259.92817146470992</c:v>
                </c:pt>
                <c:pt idx="257">
                  <c:v>259.92149218324641</c:v>
                </c:pt>
                <c:pt idx="258">
                  <c:v>259.9145158615724</c:v>
                </c:pt>
                <c:pt idx="259">
                  <c:v>259.90724247576867</c:v>
                </c:pt>
                <c:pt idx="260">
                  <c:v>259.89967200089507</c:v>
                </c:pt>
                <c:pt idx="261">
                  <c:v>259.89180441098944</c:v>
                </c:pt>
                <c:pt idx="262">
                  <c:v>259.8836396790677</c:v>
                </c:pt>
                <c:pt idx="263">
                  <c:v>259.8751777771231</c:v>
                </c:pt>
                <c:pt idx="264">
                  <c:v>259.86641867612587</c:v>
                </c:pt>
                <c:pt idx="265">
                  <c:v>259.85736234602263</c:v>
                </c:pt>
                <c:pt idx="266">
                  <c:v>259.84800875573586</c:v>
                </c:pt>
                <c:pt idx="267">
                  <c:v>259.8383578731636</c:v>
                </c:pt>
                <c:pt idx="268">
                  <c:v>259.82840966517847</c:v>
                </c:pt>
                <c:pt idx="269">
                  <c:v>259.81816409762757</c:v>
                </c:pt>
                <c:pt idx="270">
                  <c:v>259.8076211353316</c:v>
                </c:pt>
                <c:pt idx="271">
                  <c:v>259.79678074208431</c:v>
                </c:pt>
                <c:pt idx="272">
                  <c:v>259.78564288065184</c:v>
                </c:pt>
                <c:pt idx="273">
                  <c:v>259.77420751277231</c:v>
                </c:pt>
                <c:pt idx="274">
                  <c:v>259.76247459915481</c:v>
                </c:pt>
                <c:pt idx="275">
                  <c:v>259.75044409947895</c:v>
                </c:pt>
                <c:pt idx="276">
                  <c:v>259.73811597239421</c:v>
                </c:pt>
                <c:pt idx="277">
                  <c:v>259.72549017551893</c:v>
                </c:pt>
                <c:pt idx="278">
                  <c:v>259.71256666544002</c:v>
                </c:pt>
                <c:pt idx="279">
                  <c:v>259.6993453977118</c:v>
                </c:pt>
                <c:pt idx="280">
                  <c:v>259.68582632685542</c:v>
                </c:pt>
                <c:pt idx="281">
                  <c:v>259.67200940635826</c:v>
                </c:pt>
                <c:pt idx="282">
                  <c:v>259.6578945886726</c:v>
                </c:pt>
                <c:pt idx="283">
                  <c:v>259.64348182521547</c:v>
                </c:pt>
                <c:pt idx="284">
                  <c:v>259.62877106636716</c:v>
                </c:pt>
                <c:pt idx="285">
                  <c:v>259.61376226147092</c:v>
                </c:pt>
                <c:pt idx="286">
                  <c:v>259.59845535883176</c:v>
                </c:pt>
                <c:pt idx="287">
                  <c:v>259.58285030571551</c:v>
                </c:pt>
                <c:pt idx="288">
                  <c:v>259.5669470483482</c:v>
                </c:pt>
                <c:pt idx="289">
                  <c:v>259.55074553191491</c:v>
                </c:pt>
                <c:pt idx="290">
                  <c:v>259.53424570055881</c:v>
                </c:pt>
                <c:pt idx="291">
                  <c:v>259.51744749738032</c:v>
                </c:pt>
                <c:pt idx="292">
                  <c:v>259.50035086443609</c:v>
                </c:pt>
                <c:pt idx="293">
                  <c:v>259.48295574273783</c:v>
                </c:pt>
                <c:pt idx="294">
                  <c:v>259.46526207225162</c:v>
                </c:pt>
                <c:pt idx="295">
                  <c:v>259.44726979189653</c:v>
                </c:pt>
                <c:pt idx="296">
                  <c:v>259.42897883954367</c:v>
                </c:pt>
                <c:pt idx="297">
                  <c:v>259.41038915201528</c:v>
                </c:pt>
                <c:pt idx="298">
                  <c:v>259.39150066508336</c:v>
                </c:pt>
                <c:pt idx="299">
                  <c:v>259.37231331346885</c:v>
                </c:pt>
                <c:pt idx="300">
                  <c:v>259.35282703084016</c:v>
                </c:pt>
                <c:pt idx="301">
                  <c:v>259.33304174981225</c:v>
                </c:pt>
                <c:pt idx="302">
                  <c:v>259.31295740194548</c:v>
                </c:pt>
                <c:pt idx="303">
                  <c:v>259.29257391774428</c:v>
                </c:pt>
                <c:pt idx="304">
                  <c:v>259.27189122665595</c:v>
                </c:pt>
                <c:pt idx="305">
                  <c:v>259.25090925706951</c:v>
                </c:pt>
                <c:pt idx="306">
                  <c:v>259.22962793631439</c:v>
                </c:pt>
                <c:pt idx="307">
                  <c:v>259.20804719065933</c:v>
                </c:pt>
                <c:pt idx="308">
                  <c:v>259.18616694531073</c:v>
                </c:pt>
                <c:pt idx="309">
                  <c:v>259.16398712441168</c:v>
                </c:pt>
                <c:pt idx="310">
                  <c:v>259.14150765104057</c:v>
                </c:pt>
                <c:pt idx="311">
                  <c:v>259.11872844720966</c:v>
                </c:pt>
                <c:pt idx="312">
                  <c:v>259.09564943386363</c:v>
                </c:pt>
                <c:pt idx="313">
                  <c:v>259.07227053087848</c:v>
                </c:pt>
                <c:pt idx="314">
                  <c:v>259.04859165705989</c:v>
                </c:pt>
                <c:pt idx="315">
                  <c:v>259.02461273014194</c:v>
                </c:pt>
                <c:pt idx="316">
                  <c:v>259.00033366678542</c:v>
                </c:pt>
                <c:pt idx="317">
                  <c:v>258.97575438257667</c:v>
                </c:pt>
                <c:pt idx="318">
                  <c:v>258.95087479202607</c:v>
                </c:pt>
                <c:pt idx="319">
                  <c:v>258.92569480856622</c:v>
                </c:pt>
                <c:pt idx="320">
                  <c:v>258.90021434455076</c:v>
                </c:pt>
                <c:pt idx="321">
                  <c:v>258.87443331125269</c:v>
                </c:pt>
                <c:pt idx="322">
                  <c:v>258.84835161886286</c:v>
                </c:pt>
                <c:pt idx="323">
                  <c:v>258.82196917648832</c:v>
                </c:pt>
                <c:pt idx="324">
                  <c:v>258.79528589215067</c:v>
                </c:pt>
                <c:pt idx="325">
                  <c:v>258.76830167278467</c:v>
                </c:pt>
                <c:pt idx="326">
                  <c:v>258.74101642423631</c:v>
                </c:pt>
                <c:pt idx="327">
                  <c:v>258.71343005126135</c:v>
                </c:pt>
                <c:pt idx="328">
                  <c:v>258.68554245752352</c:v>
                </c:pt>
                <c:pt idx="329">
                  <c:v>258.65735354559297</c:v>
                </c:pt>
                <c:pt idx="330">
                  <c:v>258.6288632169443</c:v>
                </c:pt>
                <c:pt idx="331">
                  <c:v>258.60007137195504</c:v>
                </c:pt>
                <c:pt idx="332">
                  <c:v>258.57097790990377</c:v>
                </c:pt>
                <c:pt idx="333">
                  <c:v>258.54158272896836</c:v>
                </c:pt>
                <c:pt idx="334">
                  <c:v>258.51188572622419</c:v>
                </c:pt>
                <c:pt idx="335">
                  <c:v>258.48188679764223</c:v>
                </c:pt>
                <c:pt idx="336">
                  <c:v>258.45158583808734</c:v>
                </c:pt>
                <c:pt idx="337">
                  <c:v>258.42098274131621</c:v>
                </c:pt>
                <c:pt idx="338">
                  <c:v>258.39007739997567</c:v>
                </c:pt>
                <c:pt idx="339">
                  <c:v>258.35886970560068</c:v>
                </c:pt>
                <c:pt idx="340">
                  <c:v>258.32735954861232</c:v>
                </c:pt>
                <c:pt idx="341">
                  <c:v>258.29554681831593</c:v>
                </c:pt>
                <c:pt idx="342">
                  <c:v>258.26343140289919</c:v>
                </c:pt>
                <c:pt idx="343">
                  <c:v>258.23101318942992</c:v>
                </c:pt>
                <c:pt idx="344">
                  <c:v>258.19829206385418</c:v>
                </c:pt>
                <c:pt idx="345">
                  <c:v>258.16526791099449</c:v>
                </c:pt>
                <c:pt idx="346">
                  <c:v>258.13194061454715</c:v>
                </c:pt>
                <c:pt idx="347">
                  <c:v>258.09831005708077</c:v>
                </c:pt>
                <c:pt idx="348">
                  <c:v>258.06437612003373</c:v>
                </c:pt>
                <c:pt idx="349">
                  <c:v>258.03013868371227</c:v>
                </c:pt>
                <c:pt idx="350">
                  <c:v>257.99559762728848</c:v>
                </c:pt>
                <c:pt idx="351">
                  <c:v>257.96075282879758</c:v>
                </c:pt>
                <c:pt idx="352">
                  <c:v>257.92560416513641</c:v>
                </c:pt>
                <c:pt idx="353">
                  <c:v>257.89015151206064</c:v>
                </c:pt>
                <c:pt idx="354">
                  <c:v>257.85439474418285</c:v>
                </c:pt>
                <c:pt idx="355">
                  <c:v>257.81833373497034</c:v>
                </c:pt>
                <c:pt idx="356">
                  <c:v>257.78196835674242</c:v>
                </c:pt>
                <c:pt idx="357">
                  <c:v>257.74529848066851</c:v>
                </c:pt>
                <c:pt idx="358">
                  <c:v>257.7083239767656</c:v>
                </c:pt>
                <c:pt idx="359">
                  <c:v>257.67104471389604</c:v>
                </c:pt>
                <c:pt idx="360">
                  <c:v>257.63346055976501</c:v>
                </c:pt>
                <c:pt idx="361">
                  <c:v>257.59557138091822</c:v>
                </c:pt>
                <c:pt idx="362">
                  <c:v>257.55737704273935</c:v>
                </c:pt>
                <c:pt idx="363">
                  <c:v>257.51887740944784</c:v>
                </c:pt>
                <c:pt idx="364">
                  <c:v>257.48007234409613</c:v>
                </c:pt>
                <c:pt idx="365">
                  <c:v>257.4409617085675</c:v>
                </c:pt>
                <c:pt idx="366">
                  <c:v>257.40154536357306</c:v>
                </c:pt>
                <c:pt idx="367">
                  <c:v>257.36182316864978</c:v>
                </c:pt>
                <c:pt idx="368">
                  <c:v>257.32179498215754</c:v>
                </c:pt>
                <c:pt idx="369">
                  <c:v>257.28146066127658</c:v>
                </c:pt>
                <c:pt idx="370">
                  <c:v>257.24082006200501</c:v>
                </c:pt>
                <c:pt idx="371">
                  <c:v>257.1998730391561</c:v>
                </c:pt>
                <c:pt idx="372">
                  <c:v>257.15861944635566</c:v>
                </c:pt>
                <c:pt idx="373">
                  <c:v>257.11705913603907</c:v>
                </c:pt>
                <c:pt idx="374">
                  <c:v>257.07519195944917</c:v>
                </c:pt>
                <c:pt idx="375">
                  <c:v>257.0330177666329</c:v>
                </c:pt>
                <c:pt idx="376">
                  <c:v>256.99053640643876</c:v>
                </c:pt>
                <c:pt idx="377">
                  <c:v>256.94774772651419</c:v>
                </c:pt>
                <c:pt idx="378">
                  <c:v>256.90465157330254</c:v>
                </c:pt>
                <c:pt idx="379">
                  <c:v>256.86124779204033</c:v>
                </c:pt>
                <c:pt idx="380">
                  <c:v>256.81753622675427</c:v>
                </c:pt>
                <c:pt idx="381">
                  <c:v>256.7735167202585</c:v>
                </c:pt>
                <c:pt idx="382">
                  <c:v>256.72918911415172</c:v>
                </c:pt>
                <c:pt idx="383">
                  <c:v>256.68455324881393</c:v>
                </c:pt>
                <c:pt idx="384">
                  <c:v>256.63960896340393</c:v>
                </c:pt>
                <c:pt idx="385">
                  <c:v>256.59435609585591</c:v>
                </c:pt>
                <c:pt idx="386">
                  <c:v>256.54879448287664</c:v>
                </c:pt>
                <c:pt idx="387">
                  <c:v>256.50292395994239</c:v>
                </c:pt>
                <c:pt idx="388">
                  <c:v>256.45674436129588</c:v>
                </c:pt>
                <c:pt idx="389">
                  <c:v>256.41025551994301</c:v>
                </c:pt>
                <c:pt idx="390">
                  <c:v>256.36345726765001</c:v>
                </c:pt>
                <c:pt idx="391">
                  <c:v>256.31634943494009</c:v>
                </c:pt>
                <c:pt idx="392">
                  <c:v>256.26893185109031</c:v>
                </c:pt>
                <c:pt idx="393">
                  <c:v>256.2212043441283</c:v>
                </c:pt>
                <c:pt idx="394">
                  <c:v>256.17316674082923</c:v>
                </c:pt>
                <c:pt idx="395">
                  <c:v>256.1248188667123</c:v>
                </c:pt>
                <c:pt idx="396">
                  <c:v>256.07616054603756</c:v>
                </c:pt>
                <c:pt idx="397">
                  <c:v>256.02719160180266</c:v>
                </c:pt>
                <c:pt idx="398">
                  <c:v>255.97791185573939</c:v>
                </c:pt>
                <c:pt idx="399">
                  <c:v>255.92832112831036</c:v>
                </c:pt>
                <c:pt idx="400">
                  <c:v>255.87841923870556</c:v>
                </c:pt>
                <c:pt idx="401">
                  <c:v>255.82820600483896</c:v>
                </c:pt>
                <c:pt idx="402">
                  <c:v>255.77768124334503</c:v>
                </c:pt>
                <c:pt idx="403">
                  <c:v>255.72684476957531</c:v>
                </c:pt>
                <c:pt idx="404">
                  <c:v>255.67569639759478</c:v>
                </c:pt>
                <c:pt idx="405">
                  <c:v>255.62423594017841</c:v>
                </c:pt>
                <c:pt idx="406">
                  <c:v>255.57246320880753</c:v>
                </c:pt>
                <c:pt idx="407">
                  <c:v>255.52037801366629</c:v>
                </c:pt>
                <c:pt idx="408">
                  <c:v>255.46798016363789</c:v>
                </c:pt>
                <c:pt idx="409">
                  <c:v>255.41526946630114</c:v>
                </c:pt>
                <c:pt idx="410">
                  <c:v>255.36224572792642</c:v>
                </c:pt>
                <c:pt idx="411">
                  <c:v>255.30890875347239</c:v>
                </c:pt>
                <c:pt idx="412">
                  <c:v>255.25525834658188</c:v>
                </c:pt>
                <c:pt idx="413">
                  <c:v>255.2012943095782</c:v>
                </c:pt>
                <c:pt idx="414">
                  <c:v>255.14701644346147</c:v>
                </c:pt>
                <c:pt idx="415">
                  <c:v>255.09242454790459</c:v>
                </c:pt>
                <c:pt idx="416">
                  <c:v>255.03751842124942</c:v>
                </c:pt>
                <c:pt idx="417">
                  <c:v>254.98229786050288</c:v>
                </c:pt>
                <c:pt idx="418">
                  <c:v>254.92676266133307</c:v>
                </c:pt>
                <c:pt idx="419">
                  <c:v>254.87091261806523</c:v>
                </c:pt>
                <c:pt idx="420">
                  <c:v>254.8147475236776</c:v>
                </c:pt>
                <c:pt idx="421">
                  <c:v>254.7582671697977</c:v>
                </c:pt>
                <c:pt idx="422">
                  <c:v>254.70147134669804</c:v>
                </c:pt>
                <c:pt idx="423">
                  <c:v>254.64435984329202</c:v>
                </c:pt>
                <c:pt idx="424">
                  <c:v>254.58693244712995</c:v>
                </c:pt>
                <c:pt idx="425">
                  <c:v>254.52918894439466</c:v>
                </c:pt>
                <c:pt idx="426">
                  <c:v>254.47112911989751</c:v>
                </c:pt>
                <c:pt idx="427">
                  <c:v>254.41275275707406</c:v>
                </c:pt>
                <c:pt idx="428">
                  <c:v>254.35405963797982</c:v>
                </c:pt>
                <c:pt idx="429">
                  <c:v>254.29504954328587</c:v>
                </c:pt>
                <c:pt idx="430">
                  <c:v>254.2357222522748</c:v>
                </c:pt>
                <c:pt idx="431">
                  <c:v>254.17607754283588</c:v>
                </c:pt>
                <c:pt idx="432">
                  <c:v>254.11611519146123</c:v>
                </c:pt>
                <c:pt idx="433">
                  <c:v>254.05583497324091</c:v>
                </c:pt>
                <c:pt idx="434">
                  <c:v>253.99523666185863</c:v>
                </c:pt>
                <c:pt idx="435">
                  <c:v>253.93432002958738</c:v>
                </c:pt>
                <c:pt idx="436">
                  <c:v>253.87308484728456</c:v>
                </c:pt>
                <c:pt idx="437">
                  <c:v>253.81153088438779</c:v>
                </c:pt>
                <c:pt idx="438">
                  <c:v>253.74965790891008</c:v>
                </c:pt>
                <c:pt idx="439">
                  <c:v>253.68746568743512</c:v>
                </c:pt>
                <c:pt idx="440">
                  <c:v>253.62495398511285</c:v>
                </c:pt>
                <c:pt idx="441">
                  <c:v>253.56212256565451</c:v>
                </c:pt>
                <c:pt idx="442">
                  <c:v>253.49897119132797</c:v>
                </c:pt>
                <c:pt idx="443">
                  <c:v>253.43549962295299</c:v>
                </c:pt>
                <c:pt idx="444">
                  <c:v>253.37170761989631</c:v>
                </c:pt>
                <c:pt idx="445">
                  <c:v>253.30759494006685</c:v>
                </c:pt>
                <c:pt idx="446">
                  <c:v>253.24316133991081</c:v>
                </c:pt>
                <c:pt idx="447">
                  <c:v>253.17840657440664</c:v>
                </c:pt>
                <c:pt idx="448">
                  <c:v>253.1133303970602</c:v>
                </c:pt>
                <c:pt idx="449">
                  <c:v>253.04793255989964</c:v>
                </c:pt>
                <c:pt idx="450">
                  <c:v>252.98221281347034</c:v>
                </c:pt>
                <c:pt idx="451">
                  <c:v>252.91617090682999</c:v>
                </c:pt>
                <c:pt idx="452">
                  <c:v>252.84980658754324</c:v>
                </c:pt>
                <c:pt idx="453">
                  <c:v>252.78311960167665</c:v>
                </c:pt>
                <c:pt idx="454">
                  <c:v>252.71610969379344</c:v>
                </c:pt>
                <c:pt idx="455">
                  <c:v>252.64877660694827</c:v>
                </c:pt>
                <c:pt idx="456">
                  <c:v>252.58112008268199</c:v>
                </c:pt>
                <c:pt idx="457">
                  <c:v>252.51313986101621</c:v>
                </c:pt>
                <c:pt idx="458">
                  <c:v>252.44483568044799</c:v>
                </c:pt>
                <c:pt idx="459">
                  <c:v>252.3762072779445</c:v>
                </c:pt>
                <c:pt idx="460">
                  <c:v>252.30725438893737</c:v>
                </c:pt>
                <c:pt idx="461">
                  <c:v>252.23797674731742</c:v>
                </c:pt>
                <c:pt idx="462">
                  <c:v>252.16837408542906</c:v>
                </c:pt>
                <c:pt idx="463">
                  <c:v>252.09844613406463</c:v>
                </c:pt>
                <c:pt idx="464">
                  <c:v>252.02819262245882</c:v>
                </c:pt>
                <c:pt idx="465">
                  <c:v>251.95761327828316</c:v>
                </c:pt>
                <c:pt idx="466">
                  <c:v>251.88670782764007</c:v>
                </c:pt>
                <c:pt idx="467">
                  <c:v>251.81547599505731</c:v>
                </c:pt>
                <c:pt idx="468">
                  <c:v>251.74391750348209</c:v>
                </c:pt>
                <c:pt idx="469">
                  <c:v>251.67203207427534</c:v>
                </c:pt>
                <c:pt idx="470">
                  <c:v>251.5998194272056</c:v>
                </c:pt>
                <c:pt idx="471">
                  <c:v>251.52727928044348</c:v>
                </c:pt>
                <c:pt idx="472">
                  <c:v>251.45441135055538</c:v>
                </c:pt>
                <c:pt idx="473">
                  <c:v>251.38121535249758</c:v>
                </c:pt>
                <c:pt idx="474">
                  <c:v>251.30769099961017</c:v>
                </c:pt>
                <c:pt idx="475">
                  <c:v>251.23383800361106</c:v>
                </c:pt>
                <c:pt idx="476">
                  <c:v>251.15965607458969</c:v>
                </c:pt>
                <c:pt idx="477">
                  <c:v>251.08514492100085</c:v>
                </c:pt>
                <c:pt idx="478">
                  <c:v>251.01030424965859</c:v>
                </c:pt>
                <c:pt idx="479">
                  <c:v>250.93513376572977</c:v>
                </c:pt>
                <c:pt idx="480">
                  <c:v>250.85963317272783</c:v>
                </c:pt>
                <c:pt idx="481">
                  <c:v>250.78380217250628</c:v>
                </c:pt>
                <c:pt idx="482">
                  <c:v>250.7076404652525</c:v>
                </c:pt>
                <c:pt idx="483">
                  <c:v>250.6311477494811</c:v>
                </c:pt>
                <c:pt idx="484">
                  <c:v>250.55432372202733</c:v>
                </c:pt>
                <c:pt idx="485">
                  <c:v>250.47716807804073</c:v>
                </c:pt>
                <c:pt idx="486">
                  <c:v>250.3996805109783</c:v>
                </c:pt>
                <c:pt idx="487">
                  <c:v>250.32186071259792</c:v>
                </c:pt>
                <c:pt idx="488">
                  <c:v>250.24370837295172</c:v>
                </c:pt>
                <c:pt idx="489">
                  <c:v>250.16522318037912</c:v>
                </c:pt>
                <c:pt idx="490">
                  <c:v>250.08640482150005</c:v>
                </c:pt>
                <c:pt idx="491">
                  <c:v>250.00725298120827</c:v>
                </c:pt>
                <c:pt idx="492">
                  <c:v>249.9277673426642</c:v>
                </c:pt>
                <c:pt idx="493">
                  <c:v>249.84794758728808</c:v>
                </c:pt>
                <c:pt idx="494">
                  <c:v>249.76779339475286</c:v>
                </c:pt>
                <c:pt idx="495">
                  <c:v>249.68730444297722</c:v>
                </c:pt>
                <c:pt idx="496">
                  <c:v>249.60648040811839</c:v>
                </c:pt>
                <c:pt idx="497">
                  <c:v>249.52532096456491</c:v>
                </c:pt>
                <c:pt idx="498">
                  <c:v>249.44382578492943</c:v>
                </c:pt>
                <c:pt idx="499">
                  <c:v>249.36199454004145</c:v>
                </c:pt>
                <c:pt idx="500">
                  <c:v>249.27982689893989</c:v>
                </c:pt>
                <c:pt idx="501">
                  <c:v>249.19732252886575</c:v>
                </c:pt>
                <c:pt idx="502">
                  <c:v>249.11448109525475</c:v>
                </c:pt>
                <c:pt idx="503">
                  <c:v>249.03130226172942</c:v>
                </c:pt>
                <c:pt idx="504">
                  <c:v>248.94778569009205</c:v>
                </c:pt>
                <c:pt idx="505">
                  <c:v>248.86393104031671</c:v>
                </c:pt>
                <c:pt idx="506">
                  <c:v>248.77973797054162</c:v>
                </c:pt>
                <c:pt idx="507">
                  <c:v>248.6952061370616</c:v>
                </c:pt>
                <c:pt idx="508">
                  <c:v>248.6103351943199</c:v>
                </c:pt>
                <c:pt idx="509">
                  <c:v>248.52512479490073</c:v>
                </c:pt>
                <c:pt idx="510">
                  <c:v>248.4395745895211</c:v>
                </c:pt>
                <c:pt idx="511">
                  <c:v>248.35368422702288</c:v>
                </c:pt>
                <c:pt idx="512">
                  <c:v>248.26745335436485</c:v>
                </c:pt>
                <c:pt idx="513">
                  <c:v>248.18088161661444</c:v>
                </c:pt>
                <c:pt idx="514">
                  <c:v>248.09396865693975</c:v>
                </c:pt>
                <c:pt idx="515">
                  <c:v>248.00671411660124</c:v>
                </c:pt>
                <c:pt idx="516">
                  <c:v>247.91911763494338</c:v>
                </c:pt>
                <c:pt idx="517">
                  <c:v>247.83117884938636</c:v>
                </c:pt>
                <c:pt idx="518">
                  <c:v>247.74289739541786</c:v>
                </c:pt>
                <c:pt idx="519">
                  <c:v>247.6542729065842</c:v>
                </c:pt>
                <c:pt idx="520">
                  <c:v>247.56530501448213</c:v>
                </c:pt>
                <c:pt idx="521">
                  <c:v>247.47599334875014</c:v>
                </c:pt>
                <c:pt idx="522">
                  <c:v>247.38633753705963</c:v>
                </c:pt>
                <c:pt idx="523">
                  <c:v>247.29633720510648</c:v>
                </c:pt>
                <c:pt idx="524">
                  <c:v>247.20599197660198</c:v>
                </c:pt>
                <c:pt idx="525">
                  <c:v>247.11530147326414</c:v>
                </c:pt>
                <c:pt idx="526">
                  <c:v>247.02426531480867</c:v>
                </c:pt>
                <c:pt idx="527">
                  <c:v>246.93288311894005</c:v>
                </c:pt>
                <c:pt idx="528">
                  <c:v>246.84115450134234</c:v>
                </c:pt>
                <c:pt idx="529">
                  <c:v>246.74907907567021</c:v>
                </c:pt>
                <c:pt idx="530">
                  <c:v>246.65665645353968</c:v>
                </c:pt>
                <c:pt idx="531">
                  <c:v>246.56388624451878</c:v>
                </c:pt>
                <c:pt idx="532">
                  <c:v>246.47076805611826</c:v>
                </c:pt>
                <c:pt idx="533">
                  <c:v>246.37730149378214</c:v>
                </c:pt>
                <c:pt idx="534">
                  <c:v>246.28348616087834</c:v>
                </c:pt>
                <c:pt idx="535">
                  <c:v>246.18932165868901</c:v>
                </c:pt>
                <c:pt idx="536">
                  <c:v>246.09480758640083</c:v>
                </c:pt>
                <c:pt idx="537">
                  <c:v>245.9999435410956</c:v>
                </c:pt>
                <c:pt idx="538">
                  <c:v>245.90472911774012</c:v>
                </c:pt>
                <c:pt idx="539">
                  <c:v>245.80916390917648</c:v>
                </c:pt>
                <c:pt idx="540">
                  <c:v>245.71324750611228</c:v>
                </c:pt>
                <c:pt idx="541">
                  <c:v>245.61697949711041</c:v>
                </c:pt>
                <c:pt idx="542">
                  <c:v>245.52035946857899</c:v>
                </c:pt>
                <c:pt idx="543">
                  <c:v>245.42338700476139</c:v>
                </c:pt>
                <c:pt idx="544">
                  <c:v>245.32606168772588</c:v>
                </c:pt>
                <c:pt idx="545">
                  <c:v>245.22838309735519</c:v>
                </c:pt>
                <c:pt idx="546">
                  <c:v>245.13035081133648</c:v>
                </c:pt>
                <c:pt idx="547">
                  <c:v>245.03196440515043</c:v>
                </c:pt>
                <c:pt idx="548">
                  <c:v>244.93322345206107</c:v>
                </c:pt>
                <c:pt idx="549">
                  <c:v>244.83412752310491</c:v>
                </c:pt>
                <c:pt idx="550">
                  <c:v>244.73467618708034</c:v>
                </c:pt>
                <c:pt idx="551">
                  <c:v>244.63486901053676</c:v>
                </c:pt>
                <c:pt idx="552">
                  <c:v>244.53470555776377</c:v>
                </c:pt>
                <c:pt idx="553">
                  <c:v>244.43418539078021</c:v>
                </c:pt>
                <c:pt idx="554">
                  <c:v>244.33330806932315</c:v>
                </c:pt>
                <c:pt idx="555">
                  <c:v>244.2320731508365</c:v>
                </c:pt>
                <c:pt idx="556">
                  <c:v>244.13048019046022</c:v>
                </c:pt>
                <c:pt idx="557">
                  <c:v>244.02852874101868</c:v>
                </c:pt>
                <c:pt idx="558">
                  <c:v>243.92621835300935</c:v>
                </c:pt>
                <c:pt idx="559">
                  <c:v>243.82354857459148</c:v>
                </c:pt>
                <c:pt idx="560">
                  <c:v>243.72051895157432</c:v>
                </c:pt>
                <c:pt idx="561">
                  <c:v>243.61712902740555</c:v>
                </c:pt>
                <c:pt idx="562">
                  <c:v>243.51337834315956</c:v>
                </c:pt>
                <c:pt idx="563">
                  <c:v>243.40926643752559</c:v>
                </c:pt>
                <c:pt idx="564">
                  <c:v>243.30479284679581</c:v>
                </c:pt>
                <c:pt idx="565">
                  <c:v>243.19995710485327</c:v>
                </c:pt>
                <c:pt idx="566">
                  <c:v>243.09475874315979</c:v>
                </c:pt>
                <c:pt idx="567">
                  <c:v>242.98919729074376</c:v>
                </c:pt>
                <c:pt idx="568">
                  <c:v>242.88327227418787</c:v>
                </c:pt>
                <c:pt idx="569">
                  <c:v>242.77698321761665</c:v>
                </c:pt>
                <c:pt idx="570">
                  <c:v>242.67032964268392</c:v>
                </c:pt>
                <c:pt idx="571">
                  <c:v>242.56331106856041</c:v>
                </c:pt>
                <c:pt idx="572">
                  <c:v>242.45592701192083</c:v>
                </c:pt>
                <c:pt idx="573">
                  <c:v>242.34817698693112</c:v>
                </c:pt>
                <c:pt idx="574">
                  <c:v>242.2400605052357</c:v>
                </c:pt>
                <c:pt idx="575">
                  <c:v>242.13157707594428</c:v>
                </c:pt>
                <c:pt idx="576">
                  <c:v>242.02272620561897</c:v>
                </c:pt>
                <c:pt idx="577">
                  <c:v>241.9135073982608</c:v>
                </c:pt>
                <c:pt idx="578">
                  <c:v>241.80392015529677</c:v>
                </c:pt>
                <c:pt idx="579">
                  <c:v>241.69396397556602</c:v>
                </c:pt>
                <c:pt idx="580">
                  <c:v>241.58363835530679</c:v>
                </c:pt>
                <c:pt idx="581">
                  <c:v>241.47294278814229</c:v>
                </c:pt>
                <c:pt idx="582">
                  <c:v>241.36187676506734</c:v>
                </c:pt>
                <c:pt idx="583">
                  <c:v>241.25043977443445</c:v>
                </c:pt>
                <c:pt idx="584">
                  <c:v>241.13863130193977</c:v>
                </c:pt>
                <c:pt idx="585">
                  <c:v>241.02645083060904</c:v>
                </c:pt>
                <c:pt idx="586">
                  <c:v>240.91389784078359</c:v>
                </c:pt>
                <c:pt idx="587">
                  <c:v>240.80097181010578</c:v>
                </c:pt>
                <c:pt idx="588">
                  <c:v>240.68767221350484</c:v>
                </c:pt>
                <c:pt idx="589">
                  <c:v>240.57399852318224</c:v>
                </c:pt>
                <c:pt idx="590">
                  <c:v>240.45995020859709</c:v>
                </c:pt>
                <c:pt idx="591">
                  <c:v>240.34552673645129</c:v>
                </c:pt>
                <c:pt idx="592">
                  <c:v>240.23072757067484</c:v>
                </c:pt>
                <c:pt idx="593">
                  <c:v>240.11555217241079</c:v>
                </c:pt>
                <c:pt idx="594">
                  <c:v>240</c:v>
                </c:pt>
                <c:pt idx="595">
                  <c:v>239.88407050896609</c:v>
                </c:pt>
                <c:pt idx="596">
                  <c:v>239.76776315200004</c:v>
                </c:pt>
                <c:pt idx="597">
                  <c:v>239.65107737894459</c:v>
                </c:pt>
                <c:pt idx="598">
                  <c:v>239.5340126367789</c:v>
                </c:pt>
                <c:pt idx="599">
                  <c:v>239.41656836960246</c:v>
                </c:pt>
                <c:pt idx="600">
                  <c:v>239.29874401861971</c:v>
                </c:pt>
                <c:pt idx="601">
                  <c:v>239.18053902212358</c:v>
                </c:pt>
                <c:pt idx="602">
                  <c:v>239.06195281547966</c:v>
                </c:pt>
                <c:pt idx="603">
                  <c:v>238.94298483110987</c:v>
                </c:pt>
                <c:pt idx="604">
                  <c:v>238.82363449847614</c:v>
                </c:pt>
                <c:pt idx="605">
                  <c:v>238.70390124406387</c:v>
                </c:pt>
                <c:pt idx="606">
                  <c:v>238.58378449136526</c:v>
                </c:pt>
                <c:pt idx="607">
                  <c:v>238.46328366086252</c:v>
                </c:pt>
                <c:pt idx="608">
                  <c:v>238.34239817001108</c:v>
                </c:pt>
                <c:pt idx="609">
                  <c:v>238.22112743322234</c:v>
                </c:pt>
                <c:pt idx="610">
                  <c:v>238.09947086184664</c:v>
                </c:pt>
                <c:pt idx="611">
                  <c:v>237.97742786415586</c:v>
                </c:pt>
                <c:pt idx="612">
                  <c:v>237.85499784532593</c:v>
                </c:pt>
                <c:pt idx="613">
                  <c:v>237.73218020741922</c:v>
                </c:pt>
                <c:pt idx="614">
                  <c:v>237.60897434936675</c:v>
                </c:pt>
                <c:pt idx="615">
                  <c:v>237.48537966695037</c:v>
                </c:pt>
                <c:pt idx="616">
                  <c:v>237.36139555278453</c:v>
                </c:pt>
                <c:pt idx="617">
                  <c:v>237.23702139629819</c:v>
                </c:pt>
                <c:pt idx="618">
                  <c:v>237.11225658371654</c:v>
                </c:pt>
                <c:pt idx="619">
                  <c:v>236.9871004980422</c:v>
                </c:pt>
                <c:pt idx="620">
                  <c:v>236.86155251903674</c:v>
                </c:pt>
                <c:pt idx="621">
                  <c:v>236.73561202320195</c:v>
                </c:pt>
                <c:pt idx="622">
                  <c:v>236.60927838376068</c:v>
                </c:pt>
                <c:pt idx="623">
                  <c:v>236.48255097063767</c:v>
                </c:pt>
                <c:pt idx="624">
                  <c:v>236.35542915044047</c:v>
                </c:pt>
                <c:pt idx="625">
                  <c:v>236.22791228643976</c:v>
                </c:pt>
                <c:pt idx="626">
                  <c:v>236.0999997385498</c:v>
                </c:pt>
                <c:pt idx="627">
                  <c:v>235.97169086330862</c:v>
                </c:pt>
                <c:pt idx="628">
                  <c:v>235.84298501385814</c:v>
                </c:pt>
                <c:pt idx="629">
                  <c:v>235.7138815399239</c:v>
                </c:pt>
                <c:pt idx="630">
                  <c:v>235.58437978779492</c:v>
                </c:pt>
                <c:pt idx="631">
                  <c:v>235.45447910030308</c:v>
                </c:pt>
                <c:pt idx="632">
                  <c:v>235.32417881680254</c:v>
                </c:pt>
                <c:pt idx="633">
                  <c:v>235.19347827314903</c:v>
                </c:pt>
                <c:pt idx="634">
                  <c:v>235.0623768016786</c:v>
                </c:pt>
                <c:pt idx="635">
                  <c:v>234.93087373118667</c:v>
                </c:pt>
                <c:pt idx="636">
                  <c:v>234.79896838690661</c:v>
                </c:pt>
                <c:pt idx="637">
                  <c:v>234.66666009048814</c:v>
                </c:pt>
                <c:pt idx="638">
                  <c:v>234.53394815997572</c:v>
                </c:pt>
                <c:pt idx="639">
                  <c:v>234.40083190978655</c:v>
                </c:pt>
                <c:pt idx="640">
                  <c:v>234.26731065068847</c:v>
                </c:pt>
                <c:pt idx="641">
                  <c:v>234.13338368977776</c:v>
                </c:pt>
                <c:pt idx="642">
                  <c:v>233.99905033045658</c:v>
                </c:pt>
                <c:pt idx="643">
                  <c:v>233.86430987241036</c:v>
                </c:pt>
                <c:pt idx="644">
                  <c:v>233.72916161158477</c:v>
                </c:pt>
                <c:pt idx="645">
                  <c:v>233.59360484016298</c:v>
                </c:pt>
                <c:pt idx="646">
                  <c:v>233.45763884654207</c:v>
                </c:pt>
                <c:pt idx="647">
                  <c:v>233.32126291530969</c:v>
                </c:pt>
                <c:pt idx="648">
                  <c:v>233.18447632722035</c:v>
                </c:pt>
                <c:pt idx="649">
                  <c:v>233.04727835917177</c:v>
                </c:pt>
                <c:pt idx="650">
                  <c:v>232.90966828418033</c:v>
                </c:pt>
                <c:pt idx="651">
                  <c:v>232.77164537135724</c:v>
                </c:pt>
                <c:pt idx="652">
                  <c:v>232.6332088858837</c:v>
                </c:pt>
                <c:pt idx="653">
                  <c:v>232.49435808898647</c:v>
                </c:pt>
                <c:pt idx="654">
                  <c:v>232.35509223791263</c:v>
                </c:pt>
                <c:pt idx="655">
                  <c:v>232.21541058590458</c:v>
                </c:pt>
                <c:pt idx="656">
                  <c:v>232.07531238217467</c:v>
                </c:pt>
                <c:pt idx="657">
                  <c:v>231.93479687187948</c:v>
                </c:pt>
                <c:pt idx="658">
                  <c:v>231.79386329609417</c:v>
                </c:pt>
                <c:pt idx="659">
                  <c:v>231.65251089178625</c:v>
                </c:pt>
                <c:pt idx="660">
                  <c:v>231.51073889178926</c:v>
                </c:pt>
                <c:pt idx="661">
                  <c:v>231.36854652477649</c:v>
                </c:pt>
                <c:pt idx="662">
                  <c:v>231.22593301523389</c:v>
                </c:pt>
                <c:pt idx="663">
                  <c:v>231.08289758343338</c:v>
                </c:pt>
                <c:pt idx="664">
                  <c:v>230.9394394454053</c:v>
                </c:pt>
                <c:pt idx="665">
                  <c:v>230.79555781291123</c:v>
                </c:pt>
                <c:pt idx="666">
                  <c:v>230.65125189341592</c:v>
                </c:pt>
                <c:pt idx="667">
                  <c:v>230.50652089005968</c:v>
                </c:pt>
                <c:pt idx="668">
                  <c:v>230.36136400162977</c:v>
                </c:pt>
                <c:pt idx="669">
                  <c:v>230.21578042253219</c:v>
                </c:pt>
                <c:pt idx="670">
                  <c:v>230.06976934276284</c:v>
                </c:pt>
                <c:pt idx="671">
                  <c:v>229.92332994787847</c:v>
                </c:pt>
                <c:pt idx="672">
                  <c:v>229.77646141896739</c:v>
                </c:pt>
                <c:pt idx="673">
                  <c:v>229.62916293262012</c:v>
                </c:pt>
                <c:pt idx="674">
                  <c:v>229.48143366089931</c:v>
                </c:pt>
                <c:pt idx="675">
                  <c:v>229.33327277130982</c:v>
                </c:pt>
                <c:pt idx="676">
                  <c:v>229.18467942676844</c:v>
                </c:pt>
                <c:pt idx="677">
                  <c:v>229.03565278557309</c:v>
                </c:pt>
                <c:pt idx="678">
                  <c:v>228.88619200137191</c:v>
                </c:pt>
                <c:pt idx="679">
                  <c:v>228.73629622313234</c:v>
                </c:pt>
                <c:pt idx="680">
                  <c:v>228.58596459510926</c:v>
                </c:pt>
                <c:pt idx="681">
                  <c:v>228.43519625681347</c:v>
                </c:pt>
                <c:pt idx="682">
                  <c:v>228.28399034297954</c:v>
                </c:pt>
                <c:pt idx="683">
                  <c:v>228.13234598353347</c:v>
                </c:pt>
                <c:pt idx="684">
                  <c:v>227.98026230355995</c:v>
                </c:pt>
                <c:pt idx="685">
                  <c:v>227.82773842326952</c:v>
                </c:pt>
                <c:pt idx="686">
                  <c:v>227.67477345796527</c:v>
                </c:pt>
                <c:pt idx="687">
                  <c:v>227.52136651800907</c:v>
                </c:pt>
                <c:pt idx="688">
                  <c:v>227.367516708788</c:v>
                </c:pt>
                <c:pt idx="689">
                  <c:v>227.21322313067984</c:v>
                </c:pt>
                <c:pt idx="690">
                  <c:v>227.05848487901869</c:v>
                </c:pt>
                <c:pt idx="691">
                  <c:v>226.90330104406007</c:v>
                </c:pt>
                <c:pt idx="692">
                  <c:v>226.74767071094578</c:v>
                </c:pt>
                <c:pt idx="693">
                  <c:v>226.5915929596683</c:v>
                </c:pt>
                <c:pt idx="694">
                  <c:v>226.43506686503494</c:v>
                </c:pt>
                <c:pt idx="695">
                  <c:v>226.2780914966317</c:v>
                </c:pt>
                <c:pt idx="696">
                  <c:v>226.12066591878673</c:v>
                </c:pt>
                <c:pt idx="697">
                  <c:v>225.96278919053339</c:v>
                </c:pt>
                <c:pt idx="698">
                  <c:v>225.80446036557305</c:v>
                </c:pt>
                <c:pt idx="699">
                  <c:v>225.64567849223752</c:v>
                </c:pt>
                <c:pt idx="700">
                  <c:v>225.486442613451</c:v>
                </c:pt>
                <c:pt idx="701">
                  <c:v>225.32675176669193</c:v>
                </c:pt>
                <c:pt idx="702">
                  <c:v>225.16660498395404</c:v>
                </c:pt>
                <c:pt idx="703">
                  <c:v>225.00600129170766</c:v>
                </c:pt>
                <c:pt idx="704">
                  <c:v>224.84493971085996</c:v>
                </c:pt>
                <c:pt idx="705">
                  <c:v>224.68341925671527</c:v>
                </c:pt>
                <c:pt idx="706">
                  <c:v>224.52143893893489</c:v>
                </c:pt>
                <c:pt idx="707">
                  <c:v>224.35899776149657</c:v>
                </c:pt>
                <c:pt idx="708">
                  <c:v>224.19609472265321</c:v>
                </c:pt>
                <c:pt idx="709">
                  <c:v>224.03272881489195</c:v>
                </c:pt>
                <c:pt idx="710">
                  <c:v>223.86889902489199</c:v>
                </c:pt>
                <c:pt idx="711">
                  <c:v>223.70460433348259</c:v>
                </c:pt>
                <c:pt idx="712">
                  <c:v>223.53984371560043</c:v>
                </c:pt>
                <c:pt idx="713">
                  <c:v>223.3746161402465</c:v>
                </c:pt>
                <c:pt idx="714">
                  <c:v>223.20892057044276</c:v>
                </c:pt>
                <c:pt idx="715">
                  <c:v>223.04275596318817</c:v>
                </c:pt>
                <c:pt idx="716">
                  <c:v>222.87612126941451</c:v>
                </c:pt>
                <c:pt idx="717">
                  <c:v>222.70901543394143</c:v>
                </c:pt>
                <c:pt idx="718">
                  <c:v>222.54143739543133</c:v>
                </c:pt>
                <c:pt idx="719">
                  <c:v>222.37338608634391</c:v>
                </c:pt>
                <c:pt idx="720">
                  <c:v>222.20486043288972</c:v>
                </c:pt>
                <c:pt idx="721">
                  <c:v>222.03585935498387</c:v>
                </c:pt>
                <c:pt idx="722">
                  <c:v>221.86638176619886</c:v>
                </c:pt>
                <c:pt idx="723">
                  <c:v>221.69642657371713</c:v>
                </c:pt>
                <c:pt idx="724">
                  <c:v>221.52599267828316</c:v>
                </c:pt>
                <c:pt idx="725">
                  <c:v>221.35507897415482</c:v>
                </c:pt>
                <c:pt idx="726">
                  <c:v>221.1836843490546</c:v>
                </c:pt>
                <c:pt idx="727">
                  <c:v>221.01180768412007</c:v>
                </c:pt>
                <c:pt idx="728">
                  <c:v>220.8394478538539</c:v>
                </c:pt>
                <c:pt idx="729">
                  <c:v>220.66660372607362</c:v>
                </c:pt>
                <c:pt idx="730">
                  <c:v>220.49327416186028</c:v>
                </c:pt>
                <c:pt idx="731">
                  <c:v>220.31945801550737</c:v>
                </c:pt>
                <c:pt idx="732">
                  <c:v>220.14515413446847</c:v>
                </c:pt>
                <c:pt idx="733">
                  <c:v>219.97036135930497</c:v>
                </c:pt>
                <c:pt idx="734">
                  <c:v>219.79507852363272</c:v>
                </c:pt>
                <c:pt idx="735">
                  <c:v>219.61930445406861</c:v>
                </c:pt>
                <c:pt idx="736">
                  <c:v>219.44303797017631</c:v>
                </c:pt>
                <c:pt idx="737">
                  <c:v>219.26627788441147</c:v>
                </c:pt>
                <c:pt idx="738">
                  <c:v>219.08902300206645</c:v>
                </c:pt>
                <c:pt idx="739">
                  <c:v>218.91127212121444</c:v>
                </c:pt>
                <c:pt idx="740">
                  <c:v>218.73302403265296</c:v>
                </c:pt>
                <c:pt idx="741">
                  <c:v>218.55427751984681</c:v>
                </c:pt>
                <c:pt idx="742">
                  <c:v>218.37503135887047</c:v>
                </c:pt>
                <c:pt idx="743">
                  <c:v>218.19528431834965</c:v>
                </c:pt>
                <c:pt idx="744">
                  <c:v>218.01503515940263</c:v>
                </c:pt>
                <c:pt idx="745">
                  <c:v>217.83428263558062</c:v>
                </c:pt>
                <c:pt idx="746">
                  <c:v>217.65302549280781</c:v>
                </c:pt>
                <c:pt idx="747">
                  <c:v>217.47126246932032</c:v>
                </c:pt>
                <c:pt idx="748">
                  <c:v>217.28899229560503</c:v>
                </c:pt>
                <c:pt idx="749">
                  <c:v>217.10621369433753</c:v>
                </c:pt>
                <c:pt idx="750">
                  <c:v>216.92292538031924</c:v>
                </c:pt>
                <c:pt idx="751">
                  <c:v>216.73912606041415</c:v>
                </c:pt>
                <c:pt idx="752">
                  <c:v>216.55481443348467</c:v>
                </c:pt>
                <c:pt idx="753">
                  <c:v>216.369989190327</c:v>
                </c:pt>
                <c:pt idx="754">
                  <c:v>216.18464901360551</c:v>
                </c:pt>
                <c:pt idx="755">
                  <c:v>215.9987925777867</c:v>
                </c:pt>
                <c:pt idx="756">
                  <c:v>215.81241854907239</c:v>
                </c:pt>
                <c:pt idx="757">
                  <c:v>215.62552558533187</c:v>
                </c:pt>
                <c:pt idx="758">
                  <c:v>215.43811233603395</c:v>
                </c:pt>
                <c:pt idx="759">
                  <c:v>215.25017744217746</c:v>
                </c:pt>
                <c:pt idx="760">
                  <c:v>215.06171953622186</c:v>
                </c:pt>
                <c:pt idx="761">
                  <c:v>214.87273724201623</c:v>
                </c:pt>
                <c:pt idx="762">
                  <c:v>214.68322917472824</c:v>
                </c:pt>
                <c:pt idx="763">
                  <c:v>214.49319394077187</c:v>
                </c:pt>
                <c:pt idx="764">
                  <c:v>214.30263013773447</c:v>
                </c:pt>
                <c:pt idx="765">
                  <c:v>214.11153635430296</c:v>
                </c:pt>
                <c:pt idx="766">
                  <c:v>213.91991117018941</c:v>
                </c:pt>
                <c:pt idx="767">
                  <c:v>213.72775315605551</c:v>
                </c:pt>
                <c:pt idx="768">
                  <c:v>213.53506087343649</c:v>
                </c:pt>
                <c:pt idx="769">
                  <c:v>213.34183287466382</c:v>
                </c:pt>
                <c:pt idx="770">
                  <c:v>213.14806770278756</c:v>
                </c:pt>
                <c:pt idx="771">
                  <c:v>212.95376389149726</c:v>
                </c:pt>
                <c:pt idx="772">
                  <c:v>212.75891996504251</c:v>
                </c:pt>
                <c:pt idx="773">
                  <c:v>212.56353443815217</c:v>
                </c:pt>
                <c:pt idx="774">
                  <c:v>212.36760581595303</c:v>
                </c:pt>
                <c:pt idx="775">
                  <c:v>212.17113259388714</c:v>
                </c:pt>
                <c:pt idx="776">
                  <c:v>211.97411325762877</c:v>
                </c:pt>
                <c:pt idx="777">
                  <c:v>211.77654628299979</c:v>
                </c:pt>
                <c:pt idx="778">
                  <c:v>211.57843013588467</c:v>
                </c:pt>
                <c:pt idx="779">
                  <c:v>211.37976327214403</c:v>
                </c:pt>
                <c:pt idx="780">
                  <c:v>211.18054413752753</c:v>
                </c:pt>
                <c:pt idx="781">
                  <c:v>210.98077116758566</c:v>
                </c:pt>
                <c:pt idx="782">
                  <c:v>210.78044278758026</c:v>
                </c:pt>
                <c:pt idx="783">
                  <c:v>210.57955741239462</c:v>
                </c:pt>
                <c:pt idx="784">
                  <c:v>210.37811344644183</c:v>
                </c:pt>
                <c:pt idx="785">
                  <c:v>210.1761092835726</c:v>
                </c:pt>
                <c:pt idx="786">
                  <c:v>209.97354330698161</c:v>
                </c:pt>
                <c:pt idx="787">
                  <c:v>209.77041388911323</c:v>
                </c:pt>
                <c:pt idx="788">
                  <c:v>209.56671939156564</c:v>
                </c:pt>
                <c:pt idx="789">
                  <c:v>209.36245816499405</c:v>
                </c:pt>
                <c:pt idx="790">
                  <c:v>209.15762854901303</c:v>
                </c:pt>
                <c:pt idx="791">
                  <c:v>208.95222887209718</c:v>
                </c:pt>
                <c:pt idx="792">
                  <c:v>208.74625745148103</c:v>
                </c:pt>
                <c:pt idx="793">
                  <c:v>208.53971259305757</c:v>
                </c:pt>
                <c:pt idx="794">
                  <c:v>208.3325925912757</c:v>
                </c:pt>
                <c:pt idx="795">
                  <c:v>208.12489572903627</c:v>
                </c:pt>
                <c:pt idx="796">
                  <c:v>207.91662027758704</c:v>
                </c:pt>
                <c:pt idx="797">
                  <c:v>207.70776449641636</c:v>
                </c:pt>
                <c:pt idx="798">
                  <c:v>207.49832663314552</c:v>
                </c:pt>
                <c:pt idx="799">
                  <c:v>207.28830492341987</c:v>
                </c:pt>
                <c:pt idx="800">
                  <c:v>207.07769759079844</c:v>
                </c:pt>
                <c:pt idx="801">
                  <c:v>206.86650284664262</c:v>
                </c:pt>
                <c:pt idx="802">
                  <c:v>206.65471889000301</c:v>
                </c:pt>
                <c:pt idx="803">
                  <c:v>206.44234390750532</c:v>
                </c:pt>
                <c:pt idx="804">
                  <c:v>206.22937607323445</c:v>
                </c:pt>
                <c:pt idx="805">
                  <c:v>206.01581354861759</c:v>
                </c:pt>
                <c:pt idx="806">
                  <c:v>205.80165448230568</c:v>
                </c:pt>
                <c:pt idx="807">
                  <c:v>205.58689701005321</c:v>
                </c:pt>
                <c:pt idx="808">
                  <c:v>205.37153925459697</c:v>
                </c:pt>
                <c:pt idx="809">
                  <c:v>205.15557932553298</c:v>
                </c:pt>
                <c:pt idx="810">
                  <c:v>204.93901531919198</c:v>
                </c:pt>
                <c:pt idx="811">
                  <c:v>204.72184531851332</c:v>
                </c:pt>
                <c:pt idx="812">
                  <c:v>204.50406739291742</c:v>
                </c:pt>
                <c:pt idx="813">
                  <c:v>204.28567959817664</c:v>
                </c:pt>
                <c:pt idx="814">
                  <c:v>204.06667997628423</c:v>
                </c:pt>
                <c:pt idx="815">
                  <c:v>203.84706655532199</c:v>
                </c:pt>
                <c:pt idx="816">
                  <c:v>203.62683734932602</c:v>
                </c:pt>
                <c:pt idx="817">
                  <c:v>203.40599035815106</c:v>
                </c:pt>
                <c:pt idx="818">
                  <c:v>203.18452356733263</c:v>
                </c:pt>
                <c:pt idx="819">
                  <c:v>202.96243494794794</c:v>
                </c:pt>
                <c:pt idx="820">
                  <c:v>202.73972245647471</c:v>
                </c:pt>
                <c:pt idx="821">
                  <c:v>202.51638403464827</c:v>
                </c:pt>
                <c:pt idx="822">
                  <c:v>202.2924176093168</c:v>
                </c:pt>
                <c:pt idx="823">
                  <c:v>202.06782109229479</c:v>
                </c:pt>
                <c:pt idx="824">
                  <c:v>201.84259238021451</c:v>
                </c:pt>
                <c:pt idx="825">
                  <c:v>201.61672935437562</c:v>
                </c:pt>
                <c:pt idx="826">
                  <c:v>201.39022988059284</c:v>
                </c:pt>
                <c:pt idx="827">
                  <c:v>201.16309180904148</c:v>
                </c:pt>
                <c:pt idx="828">
                  <c:v>200.93531297410121</c:v>
                </c:pt>
                <c:pt idx="829">
                  <c:v>200.70689119419768</c:v>
                </c:pt>
                <c:pt idx="830">
                  <c:v>200.47782427164196</c:v>
                </c:pt>
                <c:pt idx="831">
                  <c:v>200.24810999246802</c:v>
                </c:pt>
                <c:pt idx="832">
                  <c:v>200.01774612626775</c:v>
                </c:pt>
                <c:pt idx="833">
                  <c:v>199.78673042602452</c:v>
                </c:pt>
                <c:pt idx="834">
                  <c:v>199.55506062794353</c:v>
                </c:pt>
                <c:pt idx="835">
                  <c:v>199.32273445128078</c:v>
                </c:pt>
                <c:pt idx="836">
                  <c:v>199.08974959816925</c:v>
                </c:pt>
                <c:pt idx="837">
                  <c:v>198.8561037534428</c:v>
                </c:pt>
                <c:pt idx="838">
                  <c:v>198.62179458445794</c:v>
                </c:pt>
                <c:pt idx="839">
                  <c:v>198.38681974091318</c:v>
                </c:pt>
                <c:pt idx="840">
                  <c:v>198.15117685466538</c:v>
                </c:pt>
                <c:pt idx="841">
                  <c:v>197.91486353954457</c:v>
                </c:pt>
                <c:pt idx="842">
                  <c:v>197.6778773911652</c:v>
                </c:pt>
                <c:pt idx="843">
                  <c:v>197.44021598673581</c:v>
                </c:pt>
                <c:pt idx="844">
                  <c:v>197.2018768848653</c:v>
                </c:pt>
                <c:pt idx="845">
                  <c:v>196.96285762536706</c:v>
                </c:pt>
                <c:pt idx="846">
                  <c:v>196.72315572906001</c:v>
                </c:pt>
                <c:pt idx="847">
                  <c:v>196.48276869756731</c:v>
                </c:pt>
                <c:pt idx="848">
                  <c:v>196.24169401311178</c:v>
                </c:pt>
                <c:pt idx="849">
                  <c:v>195.99992913830917</c:v>
                </c:pt>
                <c:pt idx="850">
                  <c:v>195.75747151595769</c:v>
                </c:pt>
                <c:pt idx="851">
                  <c:v>195.51431856882527</c:v>
                </c:pt>
                <c:pt idx="852">
                  <c:v>195.27046769943362</c:v>
                </c:pt>
                <c:pt idx="853">
                  <c:v>195.02591628983916</c:v>
                </c:pt>
                <c:pt idx="854">
                  <c:v>194.78066170141096</c:v>
                </c:pt>
                <c:pt idx="855">
                  <c:v>194.53470127460551</c:v>
                </c:pt>
                <c:pt idx="856">
                  <c:v>194.28803232873827</c:v>
                </c:pt>
                <c:pt idx="857">
                  <c:v>194.04065216175198</c:v>
                </c:pt>
                <c:pt idx="858">
                  <c:v>193.79255804998178</c:v>
                </c:pt>
                <c:pt idx="859">
                  <c:v>193.54374724791663</c:v>
                </c:pt>
                <c:pt idx="860">
                  <c:v>193.29421698795767</c:v>
                </c:pt>
                <c:pt idx="861">
                  <c:v>193.04396448017283</c:v>
                </c:pt>
                <c:pt idx="862">
                  <c:v>192.79298691204809</c:v>
                </c:pt>
                <c:pt idx="863">
                  <c:v>192.54128144823488</c:v>
                </c:pt>
                <c:pt idx="864">
                  <c:v>192.2888452302941</c:v>
                </c:pt>
                <c:pt idx="865">
                  <c:v>192.0356753764361</c:v>
                </c:pt>
                <c:pt idx="866">
                  <c:v>191.78176898125704</c:v>
                </c:pt>
                <c:pt idx="867">
                  <c:v>191.52712311547126</c:v>
                </c:pt>
                <c:pt idx="868">
                  <c:v>191.27173482563981</c:v>
                </c:pt>
                <c:pt idx="869">
                  <c:v>191.01560113389485</c:v>
                </c:pt>
                <c:pt idx="870">
                  <c:v>190.75871903765994</c:v>
                </c:pt>
                <c:pt idx="871">
                  <c:v>190.50108550936636</c:v>
                </c:pt>
                <c:pt idx="872">
                  <c:v>190.24269749616482</c:v>
                </c:pt>
                <c:pt idx="873">
                  <c:v>189.9835519196333</c:v>
                </c:pt>
                <c:pt idx="874">
                  <c:v>189.72364567547996</c:v>
                </c:pt>
                <c:pt idx="875">
                  <c:v>189.46297563324208</c:v>
                </c:pt>
                <c:pt idx="876">
                  <c:v>189.20153863597997</c:v>
                </c:pt>
                <c:pt idx="877">
                  <c:v>188.93933149996673</c:v>
                </c:pt>
                <c:pt idx="878">
                  <c:v>188.67635101437267</c:v>
                </c:pt>
                <c:pt idx="879">
                  <c:v>188.41259394094536</c:v>
                </c:pt>
                <c:pt idx="880">
                  <c:v>188.14805701368454</c:v>
                </c:pt>
                <c:pt idx="881">
                  <c:v>187.88273693851218</c:v>
                </c:pt>
                <c:pt idx="882">
                  <c:v>187.61663039293717</c:v>
                </c:pt>
                <c:pt idx="883">
                  <c:v>187.34973402571507</c:v>
                </c:pt>
                <c:pt idx="884">
                  <c:v>187.08204445650227</c:v>
                </c:pt>
                <c:pt idx="885">
                  <c:v>186.81355827550516</c:v>
                </c:pt>
                <c:pt idx="886">
                  <c:v>186.54427204312321</c:v>
                </c:pt>
                <c:pt idx="887">
                  <c:v>186.27418228958709</c:v>
                </c:pt>
                <c:pt idx="888">
                  <c:v>186.00328551459035</c:v>
                </c:pt>
                <c:pt idx="889">
                  <c:v>185.73157818691593</c:v>
                </c:pt>
                <c:pt idx="890">
                  <c:v>185.45905674405623</c:v>
                </c:pt>
                <c:pt idx="891">
                  <c:v>185.18571759182726</c:v>
                </c:pt>
                <c:pt idx="892">
                  <c:v>184.9115571039768</c:v>
                </c:pt>
                <c:pt idx="893">
                  <c:v>184.636571621786</c:v>
                </c:pt>
                <c:pt idx="894">
                  <c:v>184.36075745366443</c:v>
                </c:pt>
                <c:pt idx="895">
                  <c:v>184.08411087473903</c:v>
                </c:pt>
                <c:pt idx="896">
                  <c:v>183.80662812643587</c:v>
                </c:pt>
                <c:pt idx="897">
                  <c:v>183.52830541605533</c:v>
                </c:pt>
                <c:pt idx="898">
                  <c:v>183.24913891634046</c:v>
                </c:pt>
                <c:pt idx="899">
                  <c:v>182.96912476503775</c:v>
                </c:pt>
                <c:pt idx="900">
                  <c:v>182.6882590644511</c:v>
                </c:pt>
                <c:pt idx="901">
                  <c:v>182.40653788098822</c:v>
                </c:pt>
                <c:pt idx="902">
                  <c:v>182.12395724469951</c:v>
                </c:pt>
                <c:pt idx="903">
                  <c:v>181.84051314880912</c:v>
                </c:pt>
                <c:pt idx="904">
                  <c:v>181.55620154923832</c:v>
                </c:pt>
                <c:pt idx="905">
                  <c:v>181.27101836412083</c:v>
                </c:pt>
                <c:pt idx="906">
                  <c:v>180.98495947330971</c:v>
                </c:pt>
                <c:pt idx="907">
                  <c:v>180.6980207178762</c:v>
                </c:pt>
                <c:pt idx="908">
                  <c:v>180.41019789960001</c:v>
                </c:pt>
                <c:pt idx="909">
                  <c:v>180.12148678045048</c:v>
                </c:pt>
                <c:pt idx="910">
                  <c:v>179.83188308205948</c:v>
                </c:pt>
                <c:pt idx="911">
                  <c:v>179.54138248518461</c:v>
                </c:pt>
                <c:pt idx="912">
                  <c:v>179.24998062916367</c:v>
                </c:pt>
                <c:pt idx="913">
                  <c:v>178.95767311135918</c:v>
                </c:pt>
                <c:pt idx="914">
                  <c:v>178.66445548659362</c:v>
                </c:pt>
                <c:pt idx="915">
                  <c:v>178.37032326657433</c:v>
                </c:pt>
                <c:pt idx="916">
                  <c:v>178.0752719193089</c:v>
                </c:pt>
                <c:pt idx="917">
                  <c:v>177.77929686850976</c:v>
                </c:pt>
                <c:pt idx="918">
                  <c:v>177.48239349298848</c:v>
                </c:pt>
                <c:pt idx="919">
                  <c:v>177.1845571260391</c:v>
                </c:pt>
                <c:pt idx="920">
                  <c:v>176.88578305481079</c:v>
                </c:pt>
                <c:pt idx="921">
                  <c:v>176.5860665196688</c:v>
                </c:pt>
                <c:pt idx="922">
                  <c:v>176.28540271354444</c:v>
                </c:pt>
                <c:pt idx="923">
                  <c:v>175.98378678127295</c:v>
                </c:pt>
                <c:pt idx="924">
                  <c:v>175.68121381891942</c:v>
                </c:pt>
                <c:pt idx="925">
                  <c:v>175.37767887309258</c:v>
                </c:pt>
                <c:pt idx="926">
                  <c:v>175.07317694024582</c:v>
                </c:pt>
                <c:pt idx="927">
                  <c:v>174.76770296596564</c:v>
                </c:pt>
                <c:pt idx="928">
                  <c:v>174.46125184424685</c:v>
                </c:pt>
                <c:pt idx="929">
                  <c:v>174.15381841675423</c:v>
                </c:pt>
                <c:pt idx="930">
                  <c:v>173.84539747207063</c:v>
                </c:pt>
                <c:pt idx="931">
                  <c:v>173.53598374493112</c:v>
                </c:pt>
                <c:pt idx="932">
                  <c:v>173.2255719154424</c:v>
                </c:pt>
                <c:pt idx="933">
                  <c:v>172.91415660828801</c:v>
                </c:pt>
                <c:pt idx="934">
                  <c:v>172.60173239191826</c:v>
                </c:pt>
                <c:pt idx="935">
                  <c:v>172.2882937777245</c:v>
                </c:pt>
                <c:pt idx="936">
                  <c:v>171.97383521919841</c:v>
                </c:pt>
                <c:pt idx="937">
                  <c:v>171.65835111107424</c:v>
                </c:pt>
                <c:pt idx="938">
                  <c:v>171.34183578845546</c:v>
                </c:pt>
                <c:pt idx="939">
                  <c:v>171.02428352592375</c:v>
                </c:pt>
                <c:pt idx="940">
                  <c:v>170.70568853663147</c:v>
                </c:pt>
                <c:pt idx="941">
                  <c:v>170.38604497137567</c:v>
                </c:pt>
                <c:pt idx="942">
                  <c:v>170.06534691765464</c:v>
                </c:pt>
                <c:pt idx="943">
                  <c:v>169.74358839870547</c:v>
                </c:pt>
                <c:pt idx="944">
                  <c:v>169.42076337252288</c:v>
                </c:pt>
                <c:pt idx="945">
                  <c:v>169.09686573085853</c:v>
                </c:pt>
                <c:pt idx="946">
                  <c:v>168.77188929820022</c:v>
                </c:pt>
                <c:pt idx="947">
                  <c:v>168.44582783073093</c:v>
                </c:pt>
                <c:pt idx="948">
                  <c:v>168.11867501526677</c:v>
                </c:pt>
                <c:pt idx="949">
                  <c:v>167.79042446817363</c:v>
                </c:pt>
                <c:pt idx="950">
                  <c:v>167.46106973426157</c:v>
                </c:pt>
                <c:pt idx="951">
                  <c:v>167.13060428565706</c:v>
                </c:pt>
                <c:pt idx="952">
                  <c:v>166.79902152065196</c:v>
                </c:pt>
                <c:pt idx="953">
                  <c:v>166.4663147625287</c:v>
                </c:pt>
                <c:pt idx="954">
                  <c:v>166.13247725836149</c:v>
                </c:pt>
                <c:pt idx="955">
                  <c:v>165.79750217779238</c:v>
                </c:pt>
                <c:pt idx="956">
                  <c:v>165.46138261178189</c:v>
                </c:pt>
                <c:pt idx="957">
                  <c:v>165.1241115713336</c:v>
                </c:pt>
                <c:pt idx="958">
                  <c:v>164.78568198619175</c:v>
                </c:pt>
                <c:pt idx="959">
                  <c:v>164.44608670351133</c:v>
                </c:pt>
                <c:pt idx="960">
                  <c:v>164.10531848649987</c:v>
                </c:pt>
                <c:pt idx="961">
                  <c:v>163.76337001303037</c:v>
                </c:pt>
                <c:pt idx="962">
                  <c:v>163.42023387422429</c:v>
                </c:pt>
                <c:pt idx="963">
                  <c:v>163.07590257300433</c:v>
                </c:pt>
                <c:pt idx="964">
                  <c:v>162.73036852261527</c:v>
                </c:pt>
                <c:pt idx="965">
                  <c:v>162.38362404511329</c:v>
                </c:pt>
                <c:pt idx="966">
                  <c:v>162.03566136982178</c:v>
                </c:pt>
                <c:pt idx="967">
                  <c:v>161.68647263175347</c:v>
                </c:pt>
                <c:pt idx="968">
                  <c:v>161.33604986999751</c:v>
                </c:pt>
                <c:pt idx="969">
                  <c:v>160.98438502607081</c:v>
                </c:pt>
                <c:pt idx="970">
                  <c:v>160.63146994223291</c:v>
                </c:pt>
                <c:pt idx="971">
                  <c:v>160.27729635976226</c:v>
                </c:pt>
                <c:pt idx="972">
                  <c:v>159.92185591719476</c:v>
                </c:pt>
                <c:pt idx="973">
                  <c:v>159.56514014852141</c:v>
                </c:pt>
                <c:pt idx="974">
                  <c:v>159.20714048134559</c:v>
                </c:pt>
                <c:pt idx="975">
                  <c:v>158.84784823499777</c:v>
                </c:pt>
                <c:pt idx="976">
                  <c:v>158.48725461860715</c:v>
                </c:pt>
                <c:pt idx="977">
                  <c:v>158.12535072912846</c:v>
                </c:pt>
                <c:pt idx="978">
                  <c:v>157.76212754932308</c:v>
                </c:pt>
                <c:pt idx="979">
                  <c:v>157.39757594569318</c:v>
                </c:pt>
                <c:pt idx="980">
                  <c:v>157.03168666636662</c:v>
                </c:pt>
                <c:pt idx="981">
                  <c:v>156.66445033893299</c:v>
                </c:pt>
                <c:pt idx="982">
                  <c:v>156.29585746822721</c:v>
                </c:pt>
                <c:pt idx="983">
                  <c:v>155.92589843406108</c:v>
                </c:pt>
                <c:pt idx="984">
                  <c:v>155.55456348890002</c:v>
                </c:pt>
                <c:pt idx="985">
                  <c:v>155.18184275548364</c:v>
                </c:pt>
                <c:pt idx="986">
                  <c:v>154.80772622438917</c:v>
                </c:pt>
                <c:pt idx="987">
                  <c:v>154.43220375153481</c:v>
                </c:pt>
                <c:pt idx="988">
                  <c:v>154.05526505562221</c:v>
                </c:pt>
                <c:pt idx="989">
                  <c:v>153.67689971551624</c:v>
                </c:pt>
                <c:pt idx="990">
                  <c:v>153.29709716755892</c:v>
                </c:pt>
                <c:pt idx="991">
                  <c:v>152.91584670281725</c:v>
                </c:pt>
                <c:pt idx="992">
                  <c:v>152.5331374642617</c:v>
                </c:pt>
                <c:pt idx="993">
                  <c:v>152.14895844387354</c:v>
                </c:pt>
                <c:pt idx="994">
                  <c:v>151.76329847967887</c:v>
                </c:pt>
                <c:pt idx="995">
                  <c:v>151.37614625270717</c:v>
                </c:pt>
                <c:pt idx="996">
                  <c:v>150.98749028387161</c:v>
                </c:pt>
                <c:pt idx="997">
                  <c:v>150.59731893076915</c:v>
                </c:pt>
                <c:pt idx="998">
                  <c:v>150.20562038439749</c:v>
                </c:pt>
                <c:pt idx="999">
                  <c:v>149.81238266578634</c:v>
                </c:pt>
                <c:pt idx="1000">
                  <c:v>149.41759362254035</c:v>
                </c:pt>
                <c:pt idx="1001">
                  <c:v>149.02124092529084</c:v>
                </c:pt>
                <c:pt idx="1002">
                  <c:v>148.62331206405301</c:v>
                </c:pt>
                <c:pt idx="1003">
                  <c:v>148.22379434448621</c:v>
                </c:pt>
                <c:pt idx="1004">
                  <c:v>147.82267488405338</c:v>
                </c:pt>
                <c:pt idx="1005">
                  <c:v>147.41994060807679</c:v>
                </c:pt>
                <c:pt idx="1006">
                  <c:v>147.01557824568656</c:v>
                </c:pt>
                <c:pt idx="1007">
                  <c:v>146.60957432565795</c:v>
                </c:pt>
                <c:pt idx="1008">
                  <c:v>146.20191517213448</c:v>
                </c:pt>
                <c:pt idx="1009">
                  <c:v>145.79258690023207</c:v>
                </c:pt>
                <c:pt idx="1010">
                  <c:v>145.38157541152114</c:v>
                </c:pt>
                <c:pt idx="1011">
                  <c:v>144.96886638938108</c:v>
                </c:pt>
                <c:pt idx="1012">
                  <c:v>144.55444529422465</c:v>
                </c:pt>
                <c:pt idx="1013">
                  <c:v>144.13829735858579</c:v>
                </c:pt>
                <c:pt idx="1014">
                  <c:v>143.72040758206734</c:v>
                </c:pt>
                <c:pt idx="1015">
                  <c:v>143.30076072614321</c:v>
                </c:pt>
                <c:pt idx="1016">
                  <c:v>142.8793413088103</c:v>
                </c:pt>
                <c:pt idx="1017">
                  <c:v>142.45613359908378</c:v>
                </c:pt>
                <c:pt idx="1018">
                  <c:v>142.03112161133151</c:v>
                </c:pt>
                <c:pt idx="1019">
                  <c:v>141.60428909944085</c:v>
                </c:pt>
                <c:pt idx="1020">
                  <c:v>141.1756195508118</c:v>
                </c:pt>
                <c:pt idx="1021">
                  <c:v>140.74509618017046</c:v>
                </c:pt>
                <c:pt idx="1022">
                  <c:v>140.31270192319602</c:v>
                </c:pt>
                <c:pt idx="1023">
                  <c:v>139.87841942995431</c:v>
                </c:pt>
                <c:pt idx="1024">
                  <c:v>139.44223105813077</c:v>
                </c:pt>
                <c:pt idx="1025">
                  <c:v>139.00411886605517</c:v>
                </c:pt>
                <c:pt idx="1026">
                  <c:v>138.56406460551017</c:v>
                </c:pt>
                <c:pt idx="1027">
                  <c:v>138.12204971431589</c:v>
                </c:pt>
                <c:pt idx="1028">
                  <c:v>137.67805530868105</c:v>
                </c:pt>
                <c:pt idx="1029">
                  <c:v>137.23206217531271</c:v>
                </c:pt>
                <c:pt idx="1030">
                  <c:v>136.78405076327383</c:v>
                </c:pt>
                <c:pt idx="1031">
                  <c:v>136.3340011755806</c:v>
                </c:pt>
                <c:pt idx="1032">
                  <c:v>135.88189316052706</c:v>
                </c:pt>
                <c:pt idx="1033">
                  <c:v>135.42770610272817</c:v>
                </c:pt>
                <c:pt idx="1034">
                  <c:v>134.9714190138686</c:v>
                </c:pt>
                <c:pt idx="1035">
                  <c:v>134.51301052314602</c:v>
                </c:pt>
                <c:pt idx="1036">
                  <c:v>134.05245886739661</c:v>
                </c:pt>
                <c:pt idx="1037">
                  <c:v>133.58974188088871</c:v>
                </c:pt>
                <c:pt idx="1038">
                  <c:v>133.1248369847724</c:v>
                </c:pt>
                <c:pt idx="1039">
                  <c:v>132.65772117616947</c:v>
                </c:pt>
                <c:pt idx="1040">
                  <c:v>132.18837101688922</c:v>
                </c:pt>
                <c:pt idx="1041">
                  <c:v>131.71676262175424</c:v>
                </c:pt>
                <c:pt idx="1042">
                  <c:v>131.24287164651912</c:v>
                </c:pt>
                <c:pt idx="1043">
                  <c:v>130.76667327536543</c:v>
                </c:pt>
                <c:pt idx="1044">
                  <c:v>130.28814220795385</c:v>
                </c:pt>
                <c:pt idx="1045">
                  <c:v>129.80725264601423</c:v>
                </c:pt>
                <c:pt idx="1046">
                  <c:v>129.32397827945402</c:v>
                </c:pt>
                <c:pt idx="1047">
                  <c:v>128.83829227196222</c:v>
                </c:pt>
                <c:pt idx="1048">
                  <c:v>128.35016724608803</c:v>
                </c:pt>
                <c:pt idx="1049">
                  <c:v>127.85957526776915</c:v>
                </c:pt>
                <c:pt idx="1050">
                  <c:v>127.36648783028532</c:v>
                </c:pt>
                <c:pt idx="1051">
                  <c:v>126.87087583761087</c:v>
                </c:pt>
                <c:pt idx="1052">
                  <c:v>126.37270958713778</c:v>
                </c:pt>
                <c:pt idx="1053">
                  <c:v>125.87195875174105</c:v>
                </c:pt>
                <c:pt idx="1054">
                  <c:v>125.36859236115434</c:v>
                </c:pt>
                <c:pt idx="1055">
                  <c:v>124.8625787826237</c:v>
                </c:pt>
                <c:pt idx="1056">
                  <c:v>124.35388570080507</c:v>
                </c:pt>
                <c:pt idx="1057">
                  <c:v>123.84248009686826</c:v>
                </c:pt>
                <c:pt idx="1058">
                  <c:v>123.32832822676984</c:v>
                </c:pt>
                <c:pt idx="1059">
                  <c:v>122.81139559865316</c:v>
                </c:pt>
                <c:pt idx="1060">
                  <c:v>122.29164694933276</c:v>
                </c:pt>
                <c:pt idx="1061">
                  <c:v>121.76904621981708</c:v>
                </c:pt>
                <c:pt idx="1062">
                  <c:v>121.2435565298214</c:v>
                </c:pt>
                <c:pt idx="1063">
                  <c:v>120.7151401512188</c:v>
                </c:pt>
                <c:pt idx="1064">
                  <c:v>120.18375848037509</c:v>
                </c:pt>
                <c:pt idx="1065">
                  <c:v>119.64937200930986</c:v>
                </c:pt>
                <c:pt idx="1066">
                  <c:v>119.11194029562132</c:v>
                </c:pt>
                <c:pt idx="1067">
                  <c:v>118.57142193111051</c:v>
                </c:pt>
                <c:pt idx="1068">
                  <c:v>118.02777450903476</c:v>
                </c:pt>
                <c:pt idx="1069">
                  <c:v>117.48095458991651</c:v>
                </c:pt>
                <c:pt idx="1070">
                  <c:v>116.93091766582884</c:v>
                </c:pt>
                <c:pt idx="1071">
                  <c:v>116.37761812307382</c:v>
                </c:pt>
                <c:pt idx="1072">
                  <c:v>115.82100920316444</c:v>
                </c:pt>
                <c:pt idx="1073">
                  <c:v>115.2610429620145</c:v>
                </c:pt>
                <c:pt idx="1074">
                  <c:v>114.69767022723501</c:v>
                </c:pt>
                <c:pt idx="1075">
                  <c:v>114.13084055342841</c:v>
                </c:pt>
                <c:pt idx="1076">
                  <c:v>113.56050217536462</c:v>
                </c:pt>
                <c:pt idx="1077">
                  <c:v>112.98660195891468</c:v>
                </c:pt>
                <c:pt idx="1078">
                  <c:v>112.40908534960954</c:v>
                </c:pt>
                <c:pt idx="1079">
                  <c:v>111.82789631868127</c:v>
                </c:pt>
                <c:pt idx="1080">
                  <c:v>111.24297730643497</c:v>
                </c:pt>
                <c:pt idx="1081">
                  <c:v>110.65426916278746</c:v>
                </c:pt>
                <c:pt idx="1082">
                  <c:v>110.06171108479816</c:v>
                </c:pt>
                <c:pt idx="1083">
                  <c:v>109.46524055100272</c:v>
                </c:pt>
                <c:pt idx="1084">
                  <c:v>108.86479325234832</c:v>
                </c:pt>
                <c:pt idx="1085">
                  <c:v>108.26030301951191</c:v>
                </c:pt>
                <c:pt idx="1086">
                  <c:v>107.65170174636762</c:v>
                </c:pt>
                <c:pt idx="1087">
                  <c:v>107.03891930935018</c:v>
                </c:pt>
                <c:pt idx="1088">
                  <c:v>106.42188348244272</c:v>
                </c:pt>
                <c:pt idx="1089">
                  <c:v>105.80051984749413</c:v>
                </c:pt>
                <c:pt idx="1090">
                  <c:v>105.17475169954872</c:v>
                </c:pt>
                <c:pt idx="1091">
                  <c:v>104.54449994684467</c:v>
                </c:pt>
                <c:pt idx="1092">
                  <c:v>103.90968300510892</c:v>
                </c:pt>
                <c:pt idx="1093">
                  <c:v>103.27021668574626</c:v>
                </c:pt>
                <c:pt idx="1094">
                  <c:v>102.62601407748475</c:v>
                </c:pt>
                <c:pt idx="1095">
                  <c:v>101.97698542100348</c:v>
                </c:pt>
                <c:pt idx="1096">
                  <c:v>101.32303797602675</c:v>
                </c:pt>
                <c:pt idx="1097">
                  <c:v>100.6640758803234</c:v>
                </c:pt>
                <c:pt idx="1098">
                  <c:v>99.999999999999986</c:v>
                </c:pt>
                <c:pt idx="1099">
                  <c:v>99.330707770421327</c:v>
                </c:pt>
                <c:pt idx="1100">
                  <c:v>98.656093027030138</c:v>
                </c:pt>
                <c:pt idx="1101">
                  <c:v>97.976045825270774</c:v>
                </c:pt>
                <c:pt idx="1102">
                  <c:v>97.290452248745524</c:v>
                </c:pt>
                <c:pt idx="1103">
                  <c:v>96.599194204649834</c:v>
                </c:pt>
                <c:pt idx="1104">
                  <c:v>95.902149205438661</c:v>
                </c:pt>
                <c:pt idx="1105">
                  <c:v>95.199190135573829</c:v>
                </c:pt>
                <c:pt idx="1106">
                  <c:v>94.490185002085781</c:v>
                </c:pt>
                <c:pt idx="1107">
                  <c:v>93.774996667555257</c:v>
                </c:pt>
                <c:pt idx="1108">
                  <c:v>93.053482563974725</c:v>
                </c:pt>
                <c:pt idx="1109">
                  <c:v>92.325494385788389</c:v>
                </c:pt>
                <c:pt idx="1110">
                  <c:v>91.590877760227229</c:v>
                </c:pt>
                <c:pt idx="1111">
                  <c:v>90.849471892850758</c:v>
                </c:pt>
                <c:pt idx="1112">
                  <c:v>90.101109185976213</c:v>
                </c:pt>
                <c:pt idx="1113">
                  <c:v>89.345614827415488</c:v>
                </c:pt>
                <c:pt idx="1114">
                  <c:v>88.582806346643309</c:v>
                </c:pt>
                <c:pt idx="1115">
                  <c:v>87.812493135187097</c:v>
                </c:pt>
                <c:pt idx="1116">
                  <c:v>87.034475927646042</c:v>
                </c:pt>
                <c:pt idx="1117">
                  <c:v>86.248546239313853</c:v>
                </c:pt>
                <c:pt idx="1118">
                  <c:v>85.454485755883354</c:v>
                </c:pt>
                <c:pt idx="1119">
                  <c:v>84.652065670143131</c:v>
                </c:pt>
                <c:pt idx="1120">
                  <c:v>83.841045959925395</c:v>
                </c:pt>
                <c:pt idx="1121">
                  <c:v>83.021174600813524</c:v>
                </c:pt>
                <c:pt idx="1122">
                  <c:v>82.19218670625304</c:v>
                </c:pt>
                <c:pt idx="1123">
                  <c:v>81.353803586708182</c:v>
                </c:pt>
                <c:pt idx="1124">
                  <c:v>80.505731718345203</c:v>
                </c:pt>
                <c:pt idx="1125">
                  <c:v>79.647661610369951</c:v>
                </c:pt>
                <c:pt idx="1126">
                  <c:v>78.779266558569688</c:v>
                </c:pt>
                <c:pt idx="1127">
                  <c:v>77.900201270758544</c:v>
                </c:pt>
                <c:pt idx="1128">
                  <c:v>77.010100347652795</c:v>
                </c:pt>
                <c:pt idx="1129">
                  <c:v>76.108576600136004</c:v>
                </c:pt>
                <c:pt idx="1130">
                  <c:v>75.195219180838336</c:v>
                </c:pt>
                <c:pt idx="1131">
                  <c:v>74.269591504344632</c:v>
                </c:pt>
                <c:pt idx="1132">
                  <c:v>73.331228926034456</c:v>
                </c:pt>
                <c:pt idx="1133">
                  <c:v>72.379636144395349</c:v>
                </c:pt>
                <c:pt idx="1134">
                  <c:v>71.414284285428494</c:v>
                </c:pt>
                <c:pt idx="1135">
                  <c:v>70.434607620240811</c:v>
                </c:pt>
                <c:pt idx="1136">
                  <c:v>69.439999857768697</c:v>
                </c:pt>
                <c:pt idx="1137">
                  <c:v>68.429809943392996</c:v>
                </c:pt>
                <c:pt idx="1138">
                  <c:v>67.40333728045826</c:v>
                </c:pt>
                <c:pt idx="1139">
                  <c:v>66.359826274711409</c:v>
                </c:pt>
                <c:pt idx="1140">
                  <c:v>65.298460080532479</c:v>
                </c:pt>
                <c:pt idx="1141">
                  <c:v>64.218353401346604</c:v>
                </c:pt>
                <c:pt idx="1142">
                  <c:v>63.118544163216818</c:v>
                </c:pt>
                <c:pt idx="1143">
                  <c:v>61.997983838186208</c:v>
                </c:pt>
                <c:pt idx="1144">
                  <c:v>60.855526139607015</c:v>
                </c:pt>
                <c:pt idx="1145">
                  <c:v>59.689913741511923</c:v>
                </c:pt>
                <c:pt idx="1146">
                  <c:v>58.499762582614146</c:v>
                </c:pt>
                <c:pt idx="1147">
                  <c:v>57.283543195124182</c:v>
                </c:pt>
                <c:pt idx="1148">
                  <c:v>56.039558338422268</c:v>
                </c:pt>
                <c:pt idx="1149">
                  <c:v>54.76591600215918</c:v>
                </c:pt>
                <c:pt idx="1150">
                  <c:v>53.460496549864033</c:v>
                </c:pt>
                <c:pt idx="1151">
                  <c:v>52.120912368960319</c:v>
                </c:pt>
                <c:pt idx="1152">
                  <c:v>50.744457825461069</c:v>
                </c:pt>
                <c:pt idx="1153">
                  <c:v>49.328046513515091</c:v>
                </c:pt>
                <c:pt idx="1154">
                  <c:v>47.868131618973379</c:v>
                </c:pt>
                <c:pt idx="1155">
                  <c:v>46.360603485670417</c:v>
                </c:pt>
                <c:pt idx="1156">
                  <c:v>44.800655859396755</c:v>
                </c:pt>
                <c:pt idx="1157">
                  <c:v>43.182608238977252</c:v>
                </c:pt>
                <c:pt idx="1158">
                  <c:v>41.499665326629135</c:v>
                </c:pt>
                <c:pt idx="1159">
                  <c:v>39.743583999631987</c:v>
                </c:pt>
                <c:pt idx="1160">
                  <c:v>37.904200229812652</c:v>
                </c:pt>
                <c:pt idx="1161">
                  <c:v>35.968736424845432</c:v>
                </c:pt>
                <c:pt idx="1162">
                  <c:v>33.920750049941631</c:v>
                </c:pt>
                <c:pt idx="1163">
                  <c:v>31.738466360452623</c:v>
                </c:pt>
                <c:pt idx="1164">
                  <c:v>29.391986814247346</c:v>
                </c:pt>
                <c:pt idx="1165">
                  <c:v>26.838278817326273</c:v>
                </c:pt>
                <c:pt idx="1166">
                  <c:v>24.011314205527057</c:v>
                </c:pt>
                <c:pt idx="1167">
                  <c:v>20.799973290581086</c:v>
                </c:pt>
                <c:pt idx="1168">
                  <c:v>16.987649834911895</c:v>
                </c:pt>
                <c:pt idx="1169">
                  <c:v>12.015293752156769</c:v>
                </c:pt>
                <c:pt idx="11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AA-4BE8-AE33-9A3478868B54}"/>
            </c:ext>
          </c:extLst>
        </c:ser>
        <c:ser>
          <c:idx val="2"/>
          <c:order val="2"/>
          <c:tx>
            <c:strRef>
              <c:f>Rating!$E$16</c:f>
              <c:strCache>
                <c:ptCount val="1"/>
                <c:pt idx="0">
                  <c:v>Neck Force Data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Rating!$H$19</c:f>
              <c:numCache>
                <c:formatCode>0</c:formatCode>
                <c:ptCount val="1"/>
              </c:numCache>
            </c:numRef>
          </c:xVal>
          <c:yVal>
            <c:numRef>
              <c:f>Rating!$H$17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AA-4BE8-AE33-9A3478868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29008"/>
        <c:axId val="252658592"/>
      </c:scatterChart>
      <c:valAx>
        <c:axId val="291829008"/>
        <c:scaling>
          <c:orientation val="minMax"/>
          <c:max val="180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Maximum Neck Tension (N)</a:t>
                </a:r>
              </a:p>
            </c:rich>
          </c:tx>
          <c:layout>
            <c:manualLayout>
              <c:xMode val="edge"/>
              <c:yMode val="edge"/>
              <c:x val="0.39928095319020951"/>
              <c:y val="0.8901420280211451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658592"/>
        <c:crosses val="autoZero"/>
        <c:crossBetween val="midCat"/>
        <c:majorUnit val="200"/>
      </c:valAx>
      <c:valAx>
        <c:axId val="252658592"/>
        <c:scaling>
          <c:orientation val="minMax"/>
          <c:max val="4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Maximum Neck Shear Force (N)
</a:t>
                </a:r>
              </a:p>
            </c:rich>
          </c:tx>
          <c:layout>
            <c:manualLayout>
              <c:xMode val="edge"/>
              <c:yMode val="edge"/>
              <c:x val="3.41726618705036E-2"/>
              <c:y val="0.242253816864442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290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12052117263878"/>
          <c:y val="0.13810758934871187"/>
          <c:w val="0.84853420195439744"/>
          <c:h val="0.67519262138268565"/>
        </c:manualLayout>
      </c:layout>
      <c:scatterChart>
        <c:scatterStyle val="smoothMarker"/>
        <c:varyColors val="0"/>
        <c:ser>
          <c:idx val="0"/>
          <c:order val="0"/>
          <c:tx>
            <c:v>Target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'IIWPG Target Pulse'!$A$2:$A$93</c:f>
              <c:numCache>
                <c:formatCode>General</c:formatCode>
                <c:ptCount val="9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</c:numCache>
            </c:numRef>
          </c:xVal>
          <c:yVal>
            <c:numRef>
              <c:f>'IIWPG Target Pulse'!$B$2:$B$93</c:f>
              <c:numCache>
                <c:formatCode>General</c:formatCode>
                <c:ptCount val="92"/>
                <c:pt idx="0">
                  <c:v>0</c:v>
                </c:pt>
                <c:pt idx="1">
                  <c:v>1.9771E-2</c:v>
                </c:pt>
                <c:pt idx="2">
                  <c:v>0.200515</c:v>
                </c:pt>
                <c:pt idx="3">
                  <c:v>0.35392600000000002</c:v>
                </c:pt>
                <c:pt idx="4">
                  <c:v>0.54506500000000002</c:v>
                </c:pt>
                <c:pt idx="5">
                  <c:v>0.77721799999999996</c:v>
                </c:pt>
                <c:pt idx="6">
                  <c:v>1.053183</c:v>
                </c:pt>
                <c:pt idx="7">
                  <c:v>1.375127</c:v>
                </c:pt>
                <c:pt idx="8">
                  <c:v>1.7443299999999999</c:v>
                </c:pt>
                <c:pt idx="9">
                  <c:v>2.1608360000000002</c:v>
                </c:pt>
                <c:pt idx="10">
                  <c:v>2.6230799999999999</c:v>
                </c:pt>
                <c:pt idx="11">
                  <c:v>3.1276280000000001</c:v>
                </c:pt>
                <c:pt idx="12">
                  <c:v>3.6691560000000001</c:v>
                </c:pt>
                <c:pt idx="13">
                  <c:v>4.2406420000000002</c:v>
                </c:pt>
                <c:pt idx="14">
                  <c:v>4.833609</c:v>
                </c:pt>
                <c:pt idx="15">
                  <c:v>5.4384180000000004</c:v>
                </c:pt>
                <c:pt idx="16">
                  <c:v>6.0446169999999997</c:v>
                </c:pt>
                <c:pt idx="17">
                  <c:v>6.6414169999999997</c:v>
                </c:pt>
                <c:pt idx="18">
                  <c:v>7.2181660000000001</c:v>
                </c:pt>
                <c:pt idx="19">
                  <c:v>7.7645559999999998</c:v>
                </c:pt>
                <c:pt idx="20">
                  <c:v>8.2705669999999998</c:v>
                </c:pt>
                <c:pt idx="21">
                  <c:v>8.7265060000000005</c:v>
                </c:pt>
                <c:pt idx="22">
                  <c:v>9.1233880000000003</c:v>
                </c:pt>
                <c:pt idx="23">
                  <c:v>9.4535619999999998</c:v>
                </c:pt>
                <c:pt idx="24">
                  <c:v>9.7112189999999998</c:v>
                </c:pt>
                <c:pt idx="25">
                  <c:v>9.8925920000000005</c:v>
                </c:pt>
                <c:pt idx="26">
                  <c:v>9.9960159999999991</c:v>
                </c:pt>
                <c:pt idx="27">
                  <c:v>10.022164999999999</c:v>
                </c:pt>
                <c:pt idx="28">
                  <c:v>9.9896209999999996</c:v>
                </c:pt>
                <c:pt idx="29">
                  <c:v>9.9013810000000007</c:v>
                </c:pt>
                <c:pt idx="30">
                  <c:v>9.7753949999999996</c:v>
                </c:pt>
                <c:pt idx="31">
                  <c:v>9.6172369999999994</c:v>
                </c:pt>
                <c:pt idx="32">
                  <c:v>9.4332980000000006</c:v>
                </c:pt>
                <c:pt idx="33">
                  <c:v>9.2302610000000005</c:v>
                </c:pt>
                <c:pt idx="34">
                  <c:v>9.0146700000000006</c:v>
                </c:pt>
                <c:pt idx="35">
                  <c:v>8.7925470000000008</c:v>
                </c:pt>
                <c:pt idx="36">
                  <c:v>8.5690530000000003</c:v>
                </c:pt>
                <c:pt idx="37">
                  <c:v>8.3482210000000006</c:v>
                </c:pt>
                <c:pt idx="38">
                  <c:v>8.1328669999999992</c:v>
                </c:pt>
                <c:pt idx="39">
                  <c:v>7.9247310000000004</c:v>
                </c:pt>
                <c:pt idx="40">
                  <c:v>7.7247110000000001</c:v>
                </c:pt>
                <c:pt idx="41">
                  <c:v>7.533067</c:v>
                </c:pt>
                <c:pt idx="42">
                  <c:v>7.3495910000000002</c:v>
                </c:pt>
                <c:pt idx="43">
                  <c:v>7.1737489999999999</c:v>
                </c:pt>
                <c:pt idx="44">
                  <c:v>7.0047959999999998</c:v>
                </c:pt>
                <c:pt idx="45">
                  <c:v>6.8418739999999998</c:v>
                </c:pt>
                <c:pt idx="46">
                  <c:v>6.6840840000000004</c:v>
                </c:pt>
                <c:pt idx="47">
                  <c:v>6.5305390000000001</c:v>
                </c:pt>
                <c:pt idx="48">
                  <c:v>6.3804030000000003</c:v>
                </c:pt>
                <c:pt idx="49">
                  <c:v>6.2329179999999997</c:v>
                </c:pt>
                <c:pt idx="50">
                  <c:v>6.0874160000000002</c:v>
                </c:pt>
                <c:pt idx="51">
                  <c:v>5.9433290000000003</c:v>
                </c:pt>
                <c:pt idx="52">
                  <c:v>5.8001820000000004</c:v>
                </c:pt>
                <c:pt idx="53">
                  <c:v>5.6575959999999998</c:v>
                </c:pt>
                <c:pt idx="54">
                  <c:v>5.5152770000000002</c:v>
                </c:pt>
                <c:pt idx="55">
                  <c:v>5.3730039999999999</c:v>
                </c:pt>
                <c:pt idx="56">
                  <c:v>5.2306220000000003</c:v>
                </c:pt>
                <c:pt idx="57">
                  <c:v>5.088031</c:v>
                </c:pt>
                <c:pt idx="58">
                  <c:v>4.9451710000000002</c:v>
                </c:pt>
                <c:pt idx="59">
                  <c:v>4.8020199999999997</c:v>
                </c:pt>
                <c:pt idx="60">
                  <c:v>4.6585770000000002</c:v>
                </c:pt>
                <c:pt idx="61">
                  <c:v>4.5148570000000001</c:v>
                </c:pt>
                <c:pt idx="62">
                  <c:v>4.3708850000000004</c:v>
                </c:pt>
                <c:pt idx="63">
                  <c:v>4.2266870000000001</c:v>
                </c:pt>
                <c:pt idx="64">
                  <c:v>4.0822859999999999</c:v>
                </c:pt>
                <c:pt idx="65">
                  <c:v>3.9376929999999999</c:v>
                </c:pt>
                <c:pt idx="66">
                  <c:v>3.79291</c:v>
                </c:pt>
                <c:pt idx="67">
                  <c:v>3.6479180000000002</c:v>
                </c:pt>
                <c:pt idx="68">
                  <c:v>3.5026790000000001</c:v>
                </c:pt>
                <c:pt idx="69">
                  <c:v>3.3571330000000001</c:v>
                </c:pt>
                <c:pt idx="70">
                  <c:v>3.211192</c:v>
                </c:pt>
                <c:pt idx="71">
                  <c:v>3.0647449999999998</c:v>
                </c:pt>
                <c:pt idx="72">
                  <c:v>2.917656</c:v>
                </c:pt>
                <c:pt idx="73">
                  <c:v>2.769765</c:v>
                </c:pt>
                <c:pt idx="74">
                  <c:v>2.6208930000000001</c:v>
                </c:pt>
                <c:pt idx="75">
                  <c:v>2.47085</c:v>
                </c:pt>
                <c:pt idx="76">
                  <c:v>2.3194439999999998</c:v>
                </c:pt>
                <c:pt idx="77">
                  <c:v>2.1664910000000002</c:v>
                </c:pt>
                <c:pt idx="78">
                  <c:v>2.0118390000000002</c:v>
                </c:pt>
                <c:pt idx="79">
                  <c:v>1.855386</c:v>
                </c:pt>
                <c:pt idx="80">
                  <c:v>1.6971069999999999</c:v>
                </c:pt>
                <c:pt idx="81">
                  <c:v>1.5370900000000001</c:v>
                </c:pt>
                <c:pt idx="82">
                  <c:v>1.3755729999999999</c:v>
                </c:pt>
                <c:pt idx="83">
                  <c:v>1.212988</c:v>
                </c:pt>
                <c:pt idx="84">
                  <c:v>1.050006</c:v>
                </c:pt>
                <c:pt idx="85">
                  <c:v>0.88759399999999999</c:v>
                </c:pt>
                <c:pt idx="86">
                  <c:v>0.72706199999999999</c:v>
                </c:pt>
                <c:pt idx="87">
                  <c:v>0.57011199999999995</c:v>
                </c:pt>
                <c:pt idx="88">
                  <c:v>0.41888700000000001</c:v>
                </c:pt>
                <c:pt idx="89">
                  <c:v>0.27599499999999999</c:v>
                </c:pt>
                <c:pt idx="90">
                  <c:v>0.14452400000000001</c:v>
                </c:pt>
                <c:pt idx="91">
                  <c:v>2.7914000000000001E-2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04-4566-904D-5BCFEE2832F7}"/>
            </c:ext>
          </c:extLst>
        </c:ser>
        <c:ser>
          <c:idx val="2"/>
          <c:order val="1"/>
          <c:tx>
            <c:strRef>
              <c:f>Pulse!$C$10</c:f>
              <c:strCache>
                <c:ptCount val="1"/>
                <c:pt idx="0">
                  <c:v>Acceleration at Time=0 ms (g)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-0.25</c:v>
              </c:pt>
              <c:pt idx="1">
                <c:v>0.5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904-4566-904D-5BCFEE2832F7}"/>
            </c:ext>
          </c:extLst>
        </c:ser>
        <c:ser>
          <c:idx val="3"/>
          <c:order val="2"/>
          <c:tx>
            <c:strRef>
              <c:f>Pulse!$C$12</c:f>
              <c:strCache>
                <c:ptCount val="1"/>
                <c:pt idx="0">
                  <c:v>Acceleration at Time= 27 ms (g)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2.7000000000000062E-2</c:v>
              </c:pt>
              <c:pt idx="1">
                <c:v>2.7000000000000062E-2</c:v>
              </c:pt>
            </c:numLit>
          </c:xVal>
          <c:yVal>
            <c:numLit>
              <c:formatCode>General</c:formatCode>
              <c:ptCount val="2"/>
              <c:pt idx="0">
                <c:v>9.5</c:v>
              </c:pt>
              <c:pt idx="1">
                <c:v>10.5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904-4566-904D-5BCFEE2832F7}"/>
            </c:ext>
          </c:extLst>
        </c:ser>
        <c:ser>
          <c:idx val="4"/>
          <c:order val="3"/>
          <c:tx>
            <c:strRef>
              <c:f>Pulse!$C$14</c:f>
              <c:strCache>
                <c:ptCount val="1"/>
                <c:pt idx="0">
                  <c:v>Time that sled acceleration returns to zero (ms)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8.8000000000000064E-2</c:v>
              </c:pt>
              <c:pt idx="1">
                <c:v>9.4000000000000028E-2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904-4566-904D-5BCFEE283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109272"/>
        <c:axId val="432109664"/>
      </c:scatterChart>
      <c:valAx>
        <c:axId val="432109272"/>
        <c:scaling>
          <c:orientation val="minMax"/>
          <c:max val="0.1"/>
          <c:min val="-1.0000000000000005E-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0.46579804560260585"/>
              <c:y val="0.90281437326728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109664"/>
        <c:crossesAt val="-2"/>
        <c:crossBetween val="midCat"/>
        <c:majorUnit val="1.0000000000000005E-2"/>
      </c:valAx>
      <c:valAx>
        <c:axId val="432109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Sled Acceleration (g)</a:t>
                </a:r>
              </a:p>
            </c:rich>
          </c:tx>
          <c:layout>
            <c:manualLayout>
              <c:xMode val="edge"/>
              <c:yMode val="edge"/>
              <c:x val="2.6058631921824206E-2"/>
              <c:y val="0.332481355431594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109272"/>
        <c:crossesAt val="-1.0000000000000005E-2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32247557003257787"/>
          <c:y val="2.7280477408354792E-2"/>
          <c:w val="0.36970684039088053"/>
          <c:h val="8.86615515771529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78336854234684"/>
          <c:y val="0.13775510204081631"/>
          <c:w val="0.83794174508674224"/>
          <c:h val="0.686224489795913"/>
        </c:manualLayout>
      </c:layout>
      <c:scatterChart>
        <c:scatterStyle val="smoothMarker"/>
        <c:varyColors val="0"/>
        <c:ser>
          <c:idx val="0"/>
          <c:order val="0"/>
          <c:tx>
            <c:v>Target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'IIWPG Target Pulse'!$A$2:$A$93</c:f>
              <c:numCache>
                <c:formatCode>General</c:formatCode>
                <c:ptCount val="9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9.0000000000000011E-3</c:v>
                </c:pt>
                <c:pt idx="10">
                  <c:v>1.0000000000000002E-2</c:v>
                </c:pt>
                <c:pt idx="11">
                  <c:v>1.1000000000000003E-2</c:v>
                </c:pt>
                <c:pt idx="12">
                  <c:v>1.2000000000000004E-2</c:v>
                </c:pt>
                <c:pt idx="13">
                  <c:v>1.3000000000000005E-2</c:v>
                </c:pt>
                <c:pt idx="14">
                  <c:v>1.4000000000000005E-2</c:v>
                </c:pt>
                <c:pt idx="15">
                  <c:v>1.5000000000000006E-2</c:v>
                </c:pt>
                <c:pt idx="16">
                  <c:v>1.6000000000000007E-2</c:v>
                </c:pt>
                <c:pt idx="17">
                  <c:v>1.7000000000000008E-2</c:v>
                </c:pt>
                <c:pt idx="18">
                  <c:v>1.8000000000000009E-2</c:v>
                </c:pt>
                <c:pt idx="19">
                  <c:v>1.900000000000001E-2</c:v>
                </c:pt>
                <c:pt idx="20">
                  <c:v>2.0000000000000011E-2</c:v>
                </c:pt>
                <c:pt idx="21">
                  <c:v>2.1000000000000012E-2</c:v>
                </c:pt>
                <c:pt idx="22">
                  <c:v>2.2000000000000013E-2</c:v>
                </c:pt>
                <c:pt idx="23">
                  <c:v>2.3000000000000013E-2</c:v>
                </c:pt>
                <c:pt idx="24">
                  <c:v>2.4000000000000014E-2</c:v>
                </c:pt>
                <c:pt idx="25">
                  <c:v>2.5000000000000015E-2</c:v>
                </c:pt>
                <c:pt idx="26">
                  <c:v>2.6000000000000016E-2</c:v>
                </c:pt>
                <c:pt idx="27">
                  <c:v>2.7000000000000017E-2</c:v>
                </c:pt>
                <c:pt idx="28">
                  <c:v>2.8000000000000018E-2</c:v>
                </c:pt>
                <c:pt idx="29">
                  <c:v>2.9000000000000019E-2</c:v>
                </c:pt>
                <c:pt idx="30">
                  <c:v>3.000000000000002E-2</c:v>
                </c:pt>
                <c:pt idx="31">
                  <c:v>3.1000000000000021E-2</c:v>
                </c:pt>
                <c:pt idx="32">
                  <c:v>3.2000000000000021E-2</c:v>
                </c:pt>
                <c:pt idx="33">
                  <c:v>3.3000000000000022E-2</c:v>
                </c:pt>
                <c:pt idx="34">
                  <c:v>3.4000000000000023E-2</c:v>
                </c:pt>
                <c:pt idx="35">
                  <c:v>3.5000000000000024E-2</c:v>
                </c:pt>
                <c:pt idx="36">
                  <c:v>3.6000000000000025E-2</c:v>
                </c:pt>
                <c:pt idx="37">
                  <c:v>3.7000000000000026E-2</c:v>
                </c:pt>
                <c:pt idx="38">
                  <c:v>3.8000000000000027E-2</c:v>
                </c:pt>
                <c:pt idx="39">
                  <c:v>3.9000000000000028E-2</c:v>
                </c:pt>
                <c:pt idx="40">
                  <c:v>4.0000000000000029E-2</c:v>
                </c:pt>
                <c:pt idx="41">
                  <c:v>4.1000000000000029E-2</c:v>
                </c:pt>
                <c:pt idx="42">
                  <c:v>4.200000000000003E-2</c:v>
                </c:pt>
                <c:pt idx="43">
                  <c:v>4.3000000000000031E-2</c:v>
                </c:pt>
                <c:pt idx="44">
                  <c:v>4.4000000000000032E-2</c:v>
                </c:pt>
                <c:pt idx="45">
                  <c:v>4.5000000000000033E-2</c:v>
                </c:pt>
                <c:pt idx="46">
                  <c:v>4.6000000000000034E-2</c:v>
                </c:pt>
                <c:pt idx="47">
                  <c:v>4.7000000000000035E-2</c:v>
                </c:pt>
                <c:pt idx="48">
                  <c:v>4.8000000000000036E-2</c:v>
                </c:pt>
                <c:pt idx="49">
                  <c:v>4.9000000000000037E-2</c:v>
                </c:pt>
                <c:pt idx="50">
                  <c:v>5.0000000000000037E-2</c:v>
                </c:pt>
                <c:pt idx="51">
                  <c:v>5.1000000000000038E-2</c:v>
                </c:pt>
                <c:pt idx="52">
                  <c:v>5.2000000000000039E-2</c:v>
                </c:pt>
                <c:pt idx="53">
                  <c:v>5.300000000000004E-2</c:v>
                </c:pt>
                <c:pt idx="54">
                  <c:v>5.4000000000000041E-2</c:v>
                </c:pt>
                <c:pt idx="55">
                  <c:v>5.5000000000000042E-2</c:v>
                </c:pt>
                <c:pt idx="56">
                  <c:v>5.6000000000000043E-2</c:v>
                </c:pt>
                <c:pt idx="57">
                  <c:v>5.7000000000000044E-2</c:v>
                </c:pt>
                <c:pt idx="58">
                  <c:v>5.8000000000000045E-2</c:v>
                </c:pt>
                <c:pt idx="59">
                  <c:v>5.9000000000000045E-2</c:v>
                </c:pt>
                <c:pt idx="60">
                  <c:v>6.0000000000000046E-2</c:v>
                </c:pt>
                <c:pt idx="61">
                  <c:v>6.1000000000000047E-2</c:v>
                </c:pt>
                <c:pt idx="62">
                  <c:v>6.2000000000000048E-2</c:v>
                </c:pt>
                <c:pt idx="63">
                  <c:v>6.3000000000000042E-2</c:v>
                </c:pt>
                <c:pt idx="64">
                  <c:v>6.4000000000000043E-2</c:v>
                </c:pt>
                <c:pt idx="65">
                  <c:v>6.5000000000000044E-2</c:v>
                </c:pt>
                <c:pt idx="66">
                  <c:v>6.6000000000000045E-2</c:v>
                </c:pt>
                <c:pt idx="67">
                  <c:v>6.7000000000000046E-2</c:v>
                </c:pt>
                <c:pt idx="68">
                  <c:v>6.8000000000000047E-2</c:v>
                </c:pt>
                <c:pt idx="69">
                  <c:v>6.9000000000000047E-2</c:v>
                </c:pt>
                <c:pt idx="70">
                  <c:v>7.0000000000000048E-2</c:v>
                </c:pt>
                <c:pt idx="71">
                  <c:v>7.1000000000000049E-2</c:v>
                </c:pt>
                <c:pt idx="72">
                  <c:v>7.200000000000005E-2</c:v>
                </c:pt>
                <c:pt idx="73">
                  <c:v>7.3000000000000051E-2</c:v>
                </c:pt>
                <c:pt idx="74">
                  <c:v>7.4000000000000052E-2</c:v>
                </c:pt>
                <c:pt idx="75">
                  <c:v>7.5000000000000053E-2</c:v>
                </c:pt>
                <c:pt idx="76">
                  <c:v>7.6000000000000054E-2</c:v>
                </c:pt>
                <c:pt idx="77">
                  <c:v>7.7000000000000055E-2</c:v>
                </c:pt>
                <c:pt idx="78">
                  <c:v>7.8000000000000055E-2</c:v>
                </c:pt>
                <c:pt idx="79">
                  <c:v>7.9000000000000056E-2</c:v>
                </c:pt>
                <c:pt idx="80">
                  <c:v>8.0000000000000057E-2</c:v>
                </c:pt>
                <c:pt idx="81">
                  <c:v>8.1000000000000058E-2</c:v>
                </c:pt>
                <c:pt idx="82">
                  <c:v>8.2000000000000059E-2</c:v>
                </c:pt>
                <c:pt idx="83">
                  <c:v>8.300000000000006E-2</c:v>
                </c:pt>
                <c:pt idx="84">
                  <c:v>8.4000000000000061E-2</c:v>
                </c:pt>
                <c:pt idx="85">
                  <c:v>8.5000000000000062E-2</c:v>
                </c:pt>
                <c:pt idx="86">
                  <c:v>8.6000000000000063E-2</c:v>
                </c:pt>
                <c:pt idx="87">
                  <c:v>8.7000000000000063E-2</c:v>
                </c:pt>
                <c:pt idx="88">
                  <c:v>8.8000000000000064E-2</c:v>
                </c:pt>
                <c:pt idx="89">
                  <c:v>8.9000000000000065E-2</c:v>
                </c:pt>
                <c:pt idx="90">
                  <c:v>9.0000000000000066E-2</c:v>
                </c:pt>
                <c:pt idx="91">
                  <c:v>9.1000000000000067E-2</c:v>
                </c:pt>
              </c:numCache>
            </c:numRef>
          </c:xVal>
          <c:yVal>
            <c:numRef>
              <c:f>'IIWPG Target Pulse'!$C$2:$C$93</c:f>
              <c:numCache>
                <c:formatCode>General</c:formatCode>
                <c:ptCount val="92"/>
                <c:pt idx="0">
                  <c:v>0</c:v>
                </c:pt>
                <c:pt idx="1">
                  <c:v>9.694363857499999E-5</c:v>
                </c:pt>
                <c:pt idx="2">
                  <c:v>1.1770774895249996E-3</c:v>
                </c:pt>
                <c:pt idx="3">
                  <c:v>3.8956819058499998E-3</c:v>
                </c:pt>
                <c:pt idx="4">
                  <c:v>8.3037269509249993E-3</c:v>
                </c:pt>
                <c:pt idx="5">
                  <c:v>1.47873102419E-2</c:v>
                </c:pt>
                <c:pt idx="6">
                  <c:v>2.3762361225225001E-2</c:v>
                </c:pt>
                <c:pt idx="7">
                  <c:v>3.5669154355975001E-2</c:v>
                </c:pt>
                <c:pt idx="8">
                  <c:v>5.0964865850500002E-2</c:v>
                </c:pt>
                <c:pt idx="9">
                  <c:v>7.0113163927449984E-2</c:v>
                </c:pt>
                <c:pt idx="10">
                  <c:v>9.3570258848150012E-2</c:v>
                </c:pt>
                <c:pt idx="11">
                  <c:v>0.12176784915224999</c:v>
                </c:pt>
                <c:pt idx="12">
                  <c:v>0.15509469005905002</c:v>
                </c:pt>
                <c:pt idx="13">
                  <c:v>0.19387900033739999</c:v>
                </c:pt>
                <c:pt idx="14">
                  <c:v>0.23837300212197504</c:v>
                </c:pt>
                <c:pt idx="15">
                  <c:v>0.28874008891175001</c:v>
                </c:pt>
                <c:pt idx="16">
                  <c:v>0.34504514150312504</c:v>
                </c:pt>
                <c:pt idx="17">
                  <c:v>0.40724888916617508</c:v>
                </c:pt>
                <c:pt idx="18">
                  <c:v>0.47520692897964989</c:v>
                </c:pt>
                <c:pt idx="19">
                  <c:v>0.5486720843302999</c:v>
                </c:pt>
                <c:pt idx="20">
                  <c:v>0.62729750381427496</c:v>
                </c:pt>
                <c:pt idx="21">
                  <c:v>0.71063967678200002</c:v>
                </c:pt>
                <c:pt idx="22">
                  <c:v>0.79816350827954974</c:v>
                </c:pt>
                <c:pt idx="23">
                  <c:v>0.88925233163829986</c:v>
                </c:pt>
                <c:pt idx="24">
                  <c:v>0.98322348143512495</c:v>
                </c:pt>
                <c:pt idx="25">
                  <c:v>1.0793473380067</c:v>
                </c:pt>
                <c:pt idx="26">
                  <c:v>1.1768676468282997</c:v>
                </c:pt>
                <c:pt idx="27">
                  <c:v>1.2750232941801247</c:v>
                </c:pt>
                <c:pt idx="28">
                  <c:v>1.3731475847685748</c:v>
                </c:pt>
                <c:pt idx="29">
                  <c:v>1.4706796321502249</c:v>
                </c:pt>
                <c:pt idx="30">
                  <c:v>1.5671612598304248</c:v>
                </c:pt>
                <c:pt idx="31">
                  <c:v>1.6622496371318247</c:v>
                </c:pt>
                <c:pt idx="32">
                  <c:v>1.7556606016606997</c:v>
                </c:pt>
                <c:pt idx="33">
                  <c:v>1.8471740970943749</c:v>
                </c:pt>
                <c:pt idx="34">
                  <c:v>1.93663492338995</c:v>
                </c:pt>
                <c:pt idx="35">
                  <c:v>2.023949495686475</c:v>
                </c:pt>
                <c:pt idx="36">
                  <c:v>2.1090790630064746</c:v>
                </c:pt>
                <c:pt idx="37">
                  <c:v>2.1920299555425249</c:v>
                </c:pt>
                <c:pt idx="38">
                  <c:v>2.2728420863601251</c:v>
                </c:pt>
                <c:pt idx="39">
                  <c:v>2.3515777080734752</c:v>
                </c:pt>
                <c:pt idx="40">
                  <c:v>2.4283120082681253</c:v>
                </c:pt>
                <c:pt idx="41">
                  <c:v>2.5031258525799753</c:v>
                </c:pt>
                <c:pt idx="42">
                  <c:v>2.5761003616178253</c:v>
                </c:pt>
                <c:pt idx="43">
                  <c:v>2.6473130177233251</c:v>
                </c:pt>
                <c:pt idx="44">
                  <c:v>2.7168350318854499</c:v>
                </c:pt>
                <c:pt idx="45">
                  <c:v>2.7847297550632</c:v>
                </c:pt>
                <c:pt idx="46">
                  <c:v>2.85105192307355</c:v>
                </c:pt>
                <c:pt idx="47">
                  <c:v>2.9158475143950251</c:v>
                </c:pt>
                <c:pt idx="48">
                  <c:v>2.979154059077175</c:v>
                </c:pt>
                <c:pt idx="49">
                  <c:v>3.0410012712695003</c:v>
                </c:pt>
                <c:pt idx="50">
                  <c:v>3.1014118729800502</c:v>
                </c:pt>
                <c:pt idx="51">
                  <c:v>3.1604025257071746</c:v>
                </c:pt>
                <c:pt idx="52">
                  <c:v>3.2179847767812495</c:v>
                </c:pt>
                <c:pt idx="53">
                  <c:v>3.2741659860930996</c:v>
                </c:pt>
                <c:pt idx="54">
                  <c:v>3.3289502135958249</c:v>
                </c:pt>
                <c:pt idx="55">
                  <c:v>3.38233899403015</c:v>
                </c:pt>
                <c:pt idx="56">
                  <c:v>3.4343320184866002</c:v>
                </c:pt>
                <c:pt idx="57">
                  <c:v>3.4849277277078254</c:v>
                </c:pt>
                <c:pt idx="58">
                  <c:v>3.5341237779044756</c:v>
                </c:pt>
                <c:pt idx="59">
                  <c:v>3.5819174232145503</c:v>
                </c:pt>
                <c:pt idx="60">
                  <c:v>3.6283058049995756</c:v>
                </c:pt>
                <c:pt idx="61">
                  <c:v>3.6732861332676254</c:v>
                </c:pt>
                <c:pt idx="62">
                  <c:v>3.7168558141597754</c:v>
                </c:pt>
                <c:pt idx="63">
                  <c:v>3.7590125038866753</c:v>
                </c:pt>
                <c:pt idx="64">
                  <c:v>3.7997540989219005</c:v>
                </c:pt>
                <c:pt idx="65">
                  <c:v>3.8390786624520756</c:v>
                </c:pt>
                <c:pt idx="66">
                  <c:v>3.8769843214070505</c:v>
                </c:pt>
                <c:pt idx="67">
                  <c:v>3.9134691193601507</c:v>
                </c:pt>
                <c:pt idx="68">
                  <c:v>3.9485308203951757</c:v>
                </c:pt>
                <c:pt idx="69">
                  <c:v>3.9821667080700758</c:v>
                </c:pt>
                <c:pt idx="70">
                  <c:v>4.0143733402507005</c:v>
                </c:pt>
                <c:pt idx="71">
                  <c:v>4.0451462990412255</c:v>
                </c:pt>
                <c:pt idx="72">
                  <c:v>4.0744799554245503</c:v>
                </c:pt>
                <c:pt idx="73">
                  <c:v>4.1023672289993751</c:v>
                </c:pt>
                <c:pt idx="74">
                  <c:v>4.1287993771372253</c:v>
                </c:pt>
                <c:pt idx="75">
                  <c:v>4.1537658478827</c:v>
                </c:pt>
                <c:pt idx="76">
                  <c:v>4.1772542162102502</c:v>
                </c:pt>
                <c:pt idx="77">
                  <c:v>4.1992502134441247</c:v>
                </c:pt>
                <c:pt idx="78">
                  <c:v>4.2197379233913743</c:v>
                </c:pt>
                <c:pt idx="79">
                  <c:v>4.2387001844144994</c:v>
                </c:pt>
                <c:pt idx="80">
                  <c:v>4.2561192121537248</c:v>
                </c:pt>
                <c:pt idx="81">
                  <c:v>4.2719775311587496</c:v>
                </c:pt>
                <c:pt idx="82">
                  <c:v>4.2862592644632249</c:v>
                </c:pt>
                <c:pt idx="83">
                  <c:v>4.2989518203285497</c:v>
                </c:pt>
                <c:pt idx="84">
                  <c:v>4.3100480153835994</c:v>
                </c:pt>
                <c:pt idx="85">
                  <c:v>4.3195486979035991</c:v>
                </c:pt>
                <c:pt idx="86">
                  <c:v>4.327465881034799</c:v>
                </c:pt>
                <c:pt idx="87">
                  <c:v>4.3338263467383493</c:v>
                </c:pt>
                <c:pt idx="88">
                  <c:v>4.3386757302600243</c:v>
                </c:pt>
                <c:pt idx="89">
                  <c:v>4.3420829625426745</c:v>
                </c:pt>
                <c:pt idx="90">
                  <c:v>4.3441449038683491</c:v>
                </c:pt>
                <c:pt idx="91">
                  <c:v>4.344990423424699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87-4BA1-A953-7C94B7B090A7}"/>
            </c:ext>
          </c:extLst>
        </c:ser>
        <c:ser>
          <c:idx val="2"/>
          <c:order val="1"/>
          <c:tx>
            <c:strRef>
              <c:f>Pulse!$W$1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000066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7.0000000000000021E-2</c:v>
              </c:pt>
            </c:numLit>
          </c:xVal>
          <c:yVal>
            <c:numLit>
              <c:formatCode>General</c:formatCode>
              <c:ptCount val="1"/>
              <c:pt idx="0">
                <c:v>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387-4BA1-A953-7C94B7B09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107312"/>
        <c:axId val="432108880"/>
      </c:scatterChart>
      <c:valAx>
        <c:axId val="432107312"/>
        <c:scaling>
          <c:orientation val="minMax"/>
          <c:max val="0.1"/>
          <c:min val="-1.0000000000000005E-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0.46666734950814071"/>
              <c:y val="0.903061224489796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108880"/>
        <c:crossesAt val="-0.5"/>
        <c:crossBetween val="midCat"/>
        <c:majorUnit val="1.0000000000000005E-2"/>
      </c:valAx>
      <c:valAx>
        <c:axId val="432108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Sled Velocity (m/s)</a:t>
                </a:r>
              </a:p>
            </c:rich>
          </c:tx>
          <c:layout>
            <c:manualLayout>
              <c:xMode val="edge"/>
              <c:yMode val="edge"/>
              <c:x val="2.6016260162601636E-2"/>
              <c:y val="0.323979591836738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107312"/>
        <c:crossesAt val="-1.0000000000000005E-2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t"/>
      <c:legendEntry>
        <c:idx val="1"/>
        <c:delete val="1"/>
      </c:legendEntry>
      <c:layout>
        <c:manualLayout>
          <c:xMode val="edge"/>
          <c:yMode val="edge"/>
          <c:x val="0.37561026822867177"/>
          <c:y val="2.0408163265306142E-2"/>
          <c:w val="0.28780539017989087"/>
          <c:h val="6.12244897959183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44" r="0.75000000000000544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32</xdr:row>
      <xdr:rowOff>45619</xdr:rowOff>
    </xdr:from>
    <xdr:to>
      <xdr:col>10</xdr:col>
      <xdr:colOff>647700</xdr:colOff>
      <xdr:row>49</xdr:row>
      <xdr:rowOff>188494</xdr:rowOff>
    </xdr:to>
    <xdr:graphicFrame macro="">
      <xdr:nvGraphicFramePr>
        <xdr:cNvPr id="10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331258</xdr:colOff>
      <xdr:row>20</xdr:row>
      <xdr:rowOff>133350</xdr:rowOff>
    </xdr:from>
    <xdr:to>
      <xdr:col>10</xdr:col>
      <xdr:colOff>274108</xdr:colOff>
      <xdr:row>40</xdr:row>
      <xdr:rowOff>47625</xdr:rowOff>
    </xdr:to>
    <xdr:graphicFrame macro="">
      <xdr:nvGraphicFramePr>
        <xdr:cNvPr id="2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296333</xdr:colOff>
      <xdr:row>44</xdr:row>
      <xdr:rowOff>0</xdr:rowOff>
    </xdr:from>
    <xdr:to>
      <xdr:col>10</xdr:col>
      <xdr:colOff>248708</xdr:colOff>
      <xdr:row>63</xdr:row>
      <xdr:rowOff>114300</xdr:rowOff>
    </xdr:to>
    <xdr:graphicFrame macro="">
      <xdr:nvGraphicFramePr>
        <xdr:cNvPr id="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Y56"/>
  <sheetViews>
    <sheetView tabSelected="1" zoomScale="95" workbookViewId="0">
      <selection activeCell="P32" sqref="P31:P32"/>
    </sheetView>
  </sheetViews>
  <sheetFormatPr defaultRowHeight="15" x14ac:dyDescent="0.2"/>
  <cols>
    <col min="1" max="11" width="8.88671875" style="2"/>
    <col min="12" max="12" width="4.44140625" style="2" customWidth="1"/>
    <col min="13" max="22" width="8.88671875" style="2"/>
    <col min="23" max="25" width="7.109375" style="4" customWidth="1"/>
    <col min="26" max="16384" width="8.88671875" style="2"/>
  </cols>
  <sheetData>
    <row r="1" spans="1:16" ht="15" customHeight="1" x14ac:dyDescent="0.2">
      <c r="A1" s="1"/>
      <c r="B1" s="1"/>
      <c r="C1" s="84" t="s">
        <v>0</v>
      </c>
      <c r="D1" s="84"/>
      <c r="E1" s="84"/>
      <c r="F1" s="84"/>
      <c r="G1" s="84"/>
      <c r="H1" s="84"/>
      <c r="I1" s="84"/>
      <c r="J1" s="84"/>
      <c r="K1" s="84"/>
      <c r="L1" s="84"/>
      <c r="M1" s="84"/>
      <c r="P1" s="3"/>
    </row>
    <row r="2" spans="1:16" ht="15" customHeight="1" x14ac:dyDescent="0.2">
      <c r="A2" s="1"/>
      <c r="B2" s="1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P2" s="3" t="s">
        <v>1</v>
      </c>
    </row>
    <row r="3" spans="1:16" ht="15" customHeight="1" x14ac:dyDescent="0.2">
      <c r="A3" s="1"/>
      <c r="B3" s="1"/>
      <c r="C3" s="84" t="str">
        <f>IF(IDandName="","",IDandName)</f>
        <v/>
      </c>
      <c r="D3" s="84"/>
      <c r="E3" s="84"/>
      <c r="F3" s="84"/>
      <c r="G3" s="84"/>
      <c r="H3" s="84"/>
      <c r="I3" s="84"/>
      <c r="J3" s="84"/>
      <c r="K3" s="84"/>
      <c r="L3" s="84"/>
      <c r="M3" s="84"/>
      <c r="P3" s="3" t="s">
        <v>2</v>
      </c>
    </row>
    <row r="4" spans="1:16" ht="15" customHeight="1" x14ac:dyDescent="0.2">
      <c r="A4" s="1"/>
      <c r="B4" s="1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P4" s="3" t="s">
        <v>3</v>
      </c>
    </row>
    <row r="5" spans="1:16" ht="18" x14ac:dyDescent="0.25">
      <c r="A5" s="1"/>
      <c r="B5" s="1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P5" s="3" t="s">
        <v>4</v>
      </c>
    </row>
    <row r="6" spans="1:16" x14ac:dyDescent="0.2">
      <c r="A6" s="1"/>
      <c r="B6" s="1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6" x14ac:dyDescent="0.2">
      <c r="A7" s="1"/>
      <c r="B7" s="1"/>
      <c r="C7" s="5"/>
      <c r="D7" s="5"/>
      <c r="E7" s="5"/>
      <c r="F7" s="5"/>
      <c r="G7" s="5"/>
      <c r="H7" s="90" t="s">
        <v>5</v>
      </c>
      <c r="I7" s="90"/>
      <c r="J7" s="78" t="s">
        <v>6</v>
      </c>
      <c r="K7" s="78"/>
      <c r="L7" s="90" t="s">
        <v>7</v>
      </c>
      <c r="M7" s="90"/>
    </row>
    <row r="8" spans="1:16" x14ac:dyDescent="0.2">
      <c r="A8" s="1"/>
      <c r="B8" s="1"/>
      <c r="C8" s="5"/>
      <c r="D8" s="5"/>
      <c r="E8" s="5"/>
      <c r="F8" s="5"/>
      <c r="G8" s="5"/>
      <c r="H8" s="90"/>
      <c r="I8" s="90"/>
      <c r="J8" s="78"/>
      <c r="K8" s="78"/>
      <c r="L8" s="90"/>
      <c r="M8" s="90"/>
    </row>
    <row r="9" spans="1:16" x14ac:dyDescent="0.2">
      <c r="A9" s="1"/>
      <c r="B9" s="1"/>
      <c r="C9" s="87" t="s">
        <v>8</v>
      </c>
      <c r="D9" s="87"/>
      <c r="E9" s="87"/>
      <c r="F9" s="87"/>
      <c r="G9" s="87"/>
      <c r="H9" s="83" t="s">
        <v>9</v>
      </c>
      <c r="I9" s="83" t="s">
        <v>10</v>
      </c>
      <c r="J9" s="83" t="s">
        <v>9</v>
      </c>
      <c r="K9" s="83" t="s">
        <v>10</v>
      </c>
      <c r="L9" s="91"/>
      <c r="M9" s="91"/>
    </row>
    <row r="10" spans="1:16" x14ac:dyDescent="0.2">
      <c r="A10" s="1"/>
      <c r="B10" s="1"/>
      <c r="C10" s="87"/>
      <c r="D10" s="87"/>
      <c r="E10" s="87"/>
      <c r="F10" s="87"/>
      <c r="G10" s="87"/>
      <c r="H10" s="83"/>
      <c r="I10" s="83"/>
      <c r="J10" s="83"/>
      <c r="K10" s="83"/>
      <c r="L10" s="91"/>
      <c r="M10" s="91"/>
    </row>
    <row r="11" spans="1:16" x14ac:dyDescent="0.2">
      <c r="A11" s="1"/>
      <c r="B11" s="1"/>
      <c r="C11" s="92" t="s">
        <v>42</v>
      </c>
      <c r="D11" s="92"/>
      <c r="E11" s="92"/>
      <c r="F11" s="92"/>
      <c r="G11" s="92"/>
      <c r="H11" s="90"/>
      <c r="I11" s="90"/>
      <c r="J11" s="79" t="str">
        <f>IF(L9="Good",70,IF(L9="Acceptable",90,IF(L9="Acceptable*",90,IF(L9="Marginal",110,"&gt;110"))))</f>
        <v>&gt;110</v>
      </c>
      <c r="K11" s="79" t="str">
        <f>IF(L9="Good",60,IF(L9="Acceptable*",60,IF(L9="Acceptable",80,IF(L9="Marginal",100,"&gt;100"))))</f>
        <v>&gt;100</v>
      </c>
      <c r="L11" s="90"/>
      <c r="M11" s="90"/>
    </row>
    <row r="12" spans="1:16" x14ac:dyDescent="0.2">
      <c r="A12" s="1"/>
      <c r="B12" s="1"/>
      <c r="C12" s="92"/>
      <c r="D12" s="92"/>
      <c r="E12" s="92"/>
      <c r="F12" s="92"/>
      <c r="G12" s="92"/>
      <c r="H12" s="90"/>
      <c r="I12" s="90"/>
      <c r="J12" s="79"/>
      <c r="K12" s="79"/>
      <c r="L12" s="90"/>
      <c r="M12" s="90"/>
      <c r="O12" s="9"/>
    </row>
    <row r="13" spans="1:16" ht="15" customHeight="1" x14ac:dyDescent="0.2">
      <c r="A13" s="1"/>
      <c r="B13" s="1"/>
      <c r="C13" s="87" t="s">
        <v>11</v>
      </c>
      <c r="D13" s="87"/>
      <c r="E13" s="87"/>
      <c r="F13" s="87"/>
      <c r="G13" s="87"/>
      <c r="H13" s="90"/>
      <c r="I13" s="90"/>
      <c r="J13" s="78"/>
      <c r="K13" s="78"/>
      <c r="L13" s="93"/>
      <c r="M13" s="93"/>
    </row>
    <row r="14" spans="1:16" x14ac:dyDescent="0.2">
      <c r="A14" s="1"/>
      <c r="B14" s="1"/>
      <c r="C14" s="87"/>
      <c r="D14" s="87"/>
      <c r="E14" s="87"/>
      <c r="F14" s="87"/>
      <c r="G14" s="87"/>
      <c r="H14" s="90"/>
      <c r="I14" s="90"/>
      <c r="J14" s="78"/>
      <c r="K14" s="78"/>
      <c r="L14" s="93"/>
      <c r="M14" s="93"/>
    </row>
    <row r="15" spans="1:16" x14ac:dyDescent="0.2">
      <c r="A15" s="1"/>
      <c r="B15" s="1"/>
      <c r="C15" s="6"/>
      <c r="D15" s="6"/>
      <c r="E15" s="6"/>
      <c r="F15" s="6"/>
      <c r="G15" s="6"/>
      <c r="H15" s="6"/>
      <c r="I15" s="6"/>
      <c r="J15" s="7"/>
      <c r="K15" s="7"/>
      <c r="L15" s="6"/>
      <c r="M15" s="6"/>
    </row>
    <row r="16" spans="1:16" x14ac:dyDescent="0.2">
      <c r="A16" s="1"/>
      <c r="B16" s="1"/>
      <c r="C16" s="8"/>
      <c r="D16" s="8"/>
      <c r="E16" s="82" t="s">
        <v>12</v>
      </c>
      <c r="F16" s="82"/>
      <c r="G16" s="82"/>
      <c r="H16" s="6"/>
      <c r="I16" s="6"/>
      <c r="J16" s="7"/>
      <c r="K16" s="7"/>
      <c r="L16" s="6"/>
      <c r="M16" s="6"/>
    </row>
    <row r="17" spans="1:13" x14ac:dyDescent="0.2">
      <c r="A17" s="1"/>
      <c r="B17" s="1"/>
      <c r="C17" s="80" t="s">
        <v>13</v>
      </c>
      <c r="D17" s="80"/>
      <c r="E17" s="80"/>
      <c r="F17" s="80"/>
      <c r="G17" s="80"/>
      <c r="H17" s="81"/>
      <c r="I17" s="81"/>
      <c r="J17" s="86"/>
      <c r="K17" s="86"/>
      <c r="L17" s="79"/>
      <c r="M17" s="79"/>
    </row>
    <row r="18" spans="1:13" x14ac:dyDescent="0.2">
      <c r="A18" s="1"/>
      <c r="B18" s="1"/>
      <c r="C18" s="80"/>
      <c r="D18" s="80"/>
      <c r="E18" s="80"/>
      <c r="F18" s="80"/>
      <c r="G18" s="80"/>
      <c r="H18" s="81"/>
      <c r="I18" s="81"/>
      <c r="J18" s="86"/>
      <c r="K18" s="86"/>
      <c r="L18" s="79"/>
      <c r="M18" s="79"/>
    </row>
    <row r="19" spans="1:13" x14ac:dyDescent="0.2">
      <c r="A19" s="1"/>
      <c r="B19" s="1"/>
      <c r="C19" s="80" t="s">
        <v>14</v>
      </c>
      <c r="D19" s="80"/>
      <c r="E19" s="80"/>
      <c r="F19" s="80"/>
      <c r="G19" s="80"/>
      <c r="H19" s="81"/>
      <c r="I19" s="81"/>
      <c r="J19" s="86"/>
      <c r="K19" s="86"/>
      <c r="L19" s="79"/>
      <c r="M19" s="79"/>
    </row>
    <row r="20" spans="1:13" x14ac:dyDescent="0.2">
      <c r="A20" s="1"/>
      <c r="B20" s="1"/>
      <c r="C20" s="80"/>
      <c r="D20" s="80"/>
      <c r="E20" s="80"/>
      <c r="F20" s="80"/>
      <c r="G20" s="80"/>
      <c r="H20" s="81"/>
      <c r="I20" s="81"/>
      <c r="J20" s="86"/>
      <c r="K20" s="86"/>
      <c r="L20" s="79"/>
      <c r="M20" s="79"/>
    </row>
    <row r="21" spans="1:13" x14ac:dyDescent="0.2">
      <c r="A21" s="1"/>
      <c r="B21" s="1"/>
      <c r="C21" s="8"/>
      <c r="D21" s="8"/>
      <c r="E21" s="82" t="s">
        <v>15</v>
      </c>
      <c r="F21" s="82"/>
      <c r="G21" s="82"/>
      <c r="H21" s="6"/>
      <c r="I21" s="6"/>
      <c r="J21" s="10"/>
      <c r="K21" s="10"/>
      <c r="L21" s="10"/>
      <c r="M21" s="10"/>
    </row>
    <row r="22" spans="1:13" x14ac:dyDescent="0.2">
      <c r="A22" s="1"/>
      <c r="B22" s="1"/>
      <c r="C22" s="80" t="s">
        <v>16</v>
      </c>
      <c r="D22" s="80"/>
      <c r="E22" s="80"/>
      <c r="F22" s="80"/>
      <c r="G22" s="80"/>
      <c r="H22" s="89"/>
      <c r="I22" s="89"/>
      <c r="J22" s="86">
        <v>9.5</v>
      </c>
      <c r="K22" s="86"/>
      <c r="L22" s="79"/>
      <c r="M22" s="79"/>
    </row>
    <row r="23" spans="1:13" ht="15" customHeight="1" x14ac:dyDescent="0.2">
      <c r="A23" s="1"/>
      <c r="B23" s="1"/>
      <c r="C23" s="80"/>
      <c r="D23" s="80"/>
      <c r="E23" s="80"/>
      <c r="F23" s="80"/>
      <c r="G23" s="80"/>
      <c r="H23" s="89"/>
      <c r="I23" s="89"/>
      <c r="J23" s="86"/>
      <c r="K23" s="86"/>
      <c r="L23" s="79"/>
      <c r="M23" s="79"/>
    </row>
    <row r="24" spans="1:13" ht="15" customHeight="1" x14ac:dyDescent="0.2">
      <c r="A24" s="1"/>
      <c r="B24" s="1"/>
      <c r="C24" s="80" t="s">
        <v>17</v>
      </c>
      <c r="D24" s="80"/>
      <c r="E24" s="80"/>
      <c r="F24" s="80"/>
      <c r="G24" s="80"/>
      <c r="H24" s="81"/>
      <c r="I24" s="81"/>
      <c r="J24" s="86">
        <v>70</v>
      </c>
      <c r="K24" s="86"/>
      <c r="L24" s="79"/>
      <c r="M24" s="79"/>
    </row>
    <row r="25" spans="1:13" ht="15" customHeight="1" x14ac:dyDescent="0.2">
      <c r="A25" s="1"/>
      <c r="B25" s="1"/>
      <c r="C25" s="80"/>
      <c r="D25" s="80"/>
      <c r="E25" s="80"/>
      <c r="F25" s="80"/>
      <c r="G25" s="80"/>
      <c r="H25" s="81"/>
      <c r="I25" s="81"/>
      <c r="J25" s="86"/>
      <c r="K25" s="86"/>
      <c r="L25" s="79"/>
      <c r="M25" s="79"/>
    </row>
    <row r="26" spans="1:13" ht="15" customHeight="1" x14ac:dyDescent="0.2">
      <c r="A26" s="1"/>
      <c r="B26" s="1"/>
      <c r="C26" s="87" t="s">
        <v>18</v>
      </c>
      <c r="D26" s="87"/>
      <c r="E26" s="87"/>
      <c r="F26" s="87"/>
      <c r="G26" s="87"/>
      <c r="H26" s="5"/>
      <c r="I26" s="5"/>
      <c r="J26" s="5"/>
      <c r="K26" s="5"/>
      <c r="L26" s="85"/>
      <c r="M26" s="85"/>
    </row>
    <row r="27" spans="1:13" ht="15" customHeight="1" x14ac:dyDescent="0.2">
      <c r="A27" s="1"/>
      <c r="B27" s="1"/>
      <c r="C27" s="87"/>
      <c r="D27" s="87"/>
      <c r="E27" s="87"/>
      <c r="F27" s="87"/>
      <c r="G27" s="87"/>
      <c r="H27" s="5"/>
      <c r="I27" s="5"/>
      <c r="J27" s="5"/>
      <c r="K27" s="5"/>
      <c r="L27" s="85"/>
      <c r="M27" s="85"/>
    </row>
    <row r="28" spans="1:13" x14ac:dyDescent="0.2">
      <c r="A28" s="1"/>
      <c r="B28" s="1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 x14ac:dyDescent="0.2">
      <c r="A29" s="1"/>
      <c r="B29" s="1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x14ac:dyDescent="0.2">
      <c r="A30" s="1"/>
      <c r="B30" s="1"/>
      <c r="C30" s="87" t="s">
        <v>19</v>
      </c>
      <c r="D30" s="87"/>
      <c r="E30" s="87"/>
      <c r="F30" s="87"/>
      <c r="G30" s="87"/>
      <c r="H30" s="5"/>
      <c r="I30" s="5"/>
      <c r="J30" s="5"/>
      <c r="K30" s="5"/>
      <c r="L30" s="5"/>
      <c r="M30" s="5"/>
    </row>
    <row r="31" spans="1:13" x14ac:dyDescent="0.2">
      <c r="A31" s="1"/>
      <c r="B31" s="1"/>
      <c r="C31" s="87"/>
      <c r="D31" s="87"/>
      <c r="E31" s="87"/>
      <c r="F31" s="87"/>
      <c r="G31" s="87"/>
      <c r="H31" s="5"/>
      <c r="I31" s="5"/>
      <c r="J31" s="5"/>
      <c r="K31" s="5"/>
      <c r="L31" s="5"/>
      <c r="M31" s="5"/>
    </row>
    <row r="32" spans="1:13" x14ac:dyDescent="0.2">
      <c r="A32" s="1"/>
      <c r="B32" s="1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 x14ac:dyDescent="0.2">
      <c r="A33" s="1"/>
      <c r="B33" s="1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 x14ac:dyDescent="0.2">
      <c r="A34" s="1"/>
      <c r="B34" s="1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 x14ac:dyDescent="0.2">
      <c r="A35" s="1"/>
      <c r="B35" s="1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 x14ac:dyDescent="0.2">
      <c r="A36" s="1"/>
      <c r="B36" s="1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x14ac:dyDescent="0.2">
      <c r="A37" s="1"/>
      <c r="B37" s="1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2">
      <c r="A38" s="1"/>
      <c r="B38" s="1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 x14ac:dyDescent="0.2">
      <c r="A39" s="1"/>
      <c r="B39" s="1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 x14ac:dyDescent="0.2">
      <c r="A40" s="1"/>
      <c r="B40" s="1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 x14ac:dyDescent="0.2">
      <c r="A41" s="1"/>
      <c r="B41" s="1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 x14ac:dyDescent="0.2">
      <c r="A42" s="1"/>
      <c r="B42" s="1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 x14ac:dyDescent="0.2">
      <c r="A43" s="1"/>
      <c r="B43" s="1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 x14ac:dyDescent="0.2">
      <c r="A44" s="1"/>
      <c r="B44" s="1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 x14ac:dyDescent="0.2">
      <c r="A45" s="1"/>
      <c r="B45" s="1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  <row r="46" spans="1:13" x14ac:dyDescent="0.2">
      <c r="A46" s="1"/>
      <c r="B46" s="1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</row>
    <row r="47" spans="1:13" x14ac:dyDescent="0.2">
      <c r="A47" s="1"/>
      <c r="B47" s="1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1:13" x14ac:dyDescent="0.2">
      <c r="A48" s="1"/>
      <c r="B48" s="1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</row>
    <row r="49" spans="1:13" x14ac:dyDescent="0.2">
      <c r="A49" s="1"/>
      <c r="B49" s="1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</row>
    <row r="50" spans="1:13" x14ac:dyDescent="0.2">
      <c r="A50" s="1"/>
      <c r="B50" s="1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">
      <c r="A51" s="1"/>
      <c r="B51" s="1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</row>
    <row r="52" spans="1:13" x14ac:dyDescent="0.2">
      <c r="A52" s="1"/>
      <c r="B52" s="1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1:13" x14ac:dyDescent="0.2">
      <c r="A53" s="1"/>
      <c r="B53" s="1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  <row r="54" spans="1:13" x14ac:dyDescent="0.2">
      <c r="C54" s="11"/>
      <c r="D54" s="11"/>
      <c r="E54" s="11"/>
      <c r="F54" s="11"/>
      <c r="G54" s="11"/>
      <c r="H54" s="11"/>
    </row>
    <row r="55" spans="1:13" x14ac:dyDescent="0.2">
      <c r="C55" s="11"/>
      <c r="D55" s="11"/>
      <c r="E55" s="11"/>
      <c r="F55" s="11"/>
      <c r="G55" s="11"/>
      <c r="H55" s="11"/>
    </row>
    <row r="56" spans="1:13" x14ac:dyDescent="0.2">
      <c r="C56" s="11"/>
      <c r="D56" s="11"/>
      <c r="E56" s="11"/>
      <c r="F56" s="11"/>
      <c r="G56" s="11"/>
      <c r="H56" s="11"/>
    </row>
  </sheetData>
  <sheetProtection selectLockedCells="1"/>
  <mergeCells count="42">
    <mergeCell ref="C1:M2"/>
    <mergeCell ref="C30:G31"/>
    <mergeCell ref="L9:M10"/>
    <mergeCell ref="J11:J12"/>
    <mergeCell ref="K11:K12"/>
    <mergeCell ref="C11:G12"/>
    <mergeCell ref="L11:M12"/>
    <mergeCell ref="C13:G14"/>
    <mergeCell ref="H13:I14"/>
    <mergeCell ref="L24:M25"/>
    <mergeCell ref="J19:K20"/>
    <mergeCell ref="H11:H12"/>
    <mergeCell ref="I11:I12"/>
    <mergeCell ref="L13:M14"/>
    <mergeCell ref="L7:M8"/>
    <mergeCell ref="H9:H10"/>
    <mergeCell ref="C3:M4"/>
    <mergeCell ref="J9:J10"/>
    <mergeCell ref="L26:M27"/>
    <mergeCell ref="L22:M23"/>
    <mergeCell ref="C24:G25"/>
    <mergeCell ref="H24:I25"/>
    <mergeCell ref="J24:K25"/>
    <mergeCell ref="C26:G27"/>
    <mergeCell ref="C5:M5"/>
    <mergeCell ref="E21:G21"/>
    <mergeCell ref="C22:G23"/>
    <mergeCell ref="H22:I23"/>
    <mergeCell ref="J22:K23"/>
    <mergeCell ref="J17:K18"/>
    <mergeCell ref="C9:G10"/>
    <mergeCell ref="H7:I8"/>
    <mergeCell ref="J7:K8"/>
    <mergeCell ref="L17:M20"/>
    <mergeCell ref="C19:G20"/>
    <mergeCell ref="H19:I20"/>
    <mergeCell ref="J13:K14"/>
    <mergeCell ref="E16:G16"/>
    <mergeCell ref="C17:G18"/>
    <mergeCell ref="H17:I18"/>
    <mergeCell ref="I9:I10"/>
    <mergeCell ref="K9:K10"/>
  </mergeCells>
  <phoneticPr fontId="5" type="noConversion"/>
  <conditionalFormatting sqref="L13:M14">
    <cfRule type="cellIs" dxfId="10" priority="1" stopIfTrue="1" operator="equal">
      <formula>"Good"</formula>
    </cfRule>
    <cfRule type="cellIs" dxfId="9" priority="2" stopIfTrue="1" operator="equal">
      <formula>"Acceptable"</formula>
    </cfRule>
    <cfRule type="cellIs" dxfId="8" priority="3" stopIfTrue="1" operator="equal">
      <formula>"Marginal"</formula>
    </cfRule>
  </conditionalFormatting>
  <conditionalFormatting sqref="L26:M27">
    <cfRule type="cellIs" dxfId="7" priority="4" stopIfTrue="1" operator="equal">
      <formula>$P$2</formula>
    </cfRule>
    <cfRule type="cellIs" dxfId="6" priority="5" stopIfTrue="1" operator="equal">
      <formula>$P$3</formula>
    </cfRule>
    <cfRule type="cellIs" dxfId="5" priority="6" stopIfTrue="1" operator="equal">
      <formula>$P$4</formula>
    </cfRule>
  </conditionalFormatting>
  <conditionalFormatting sqref="L9:M10">
    <cfRule type="cellIs" dxfId="4" priority="7" stopIfTrue="1" operator="equal">
      <formula>"Good"</formula>
    </cfRule>
    <cfRule type="cellIs" dxfId="3" priority="8" stopIfTrue="1" operator="equal">
      <formula>"Marginal"</formula>
    </cfRule>
    <cfRule type="cellIs" dxfId="2" priority="9" stopIfTrue="1" operator="equal">
      <formula>"Poor"</formula>
    </cfRule>
  </conditionalFormatting>
  <pageMargins left="0.75" right="0.75" top="1" bottom="1" header="0.5" footer="0.5"/>
  <pageSetup scale="80" orientation="portrait" blackAndWhite="1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9"/>
  <sheetViews>
    <sheetView zoomScale="80" zoomScaleNormal="80" workbookViewId="0">
      <selection activeCell="B11" sqref="B11"/>
    </sheetView>
  </sheetViews>
  <sheetFormatPr defaultColWidth="7.21875" defaultRowHeight="15" x14ac:dyDescent="0.2"/>
  <cols>
    <col min="1" max="2" width="25.77734375" style="39" customWidth="1"/>
    <col min="3" max="3" width="28.77734375" style="39" customWidth="1"/>
    <col min="4" max="5" width="25.77734375" style="39" customWidth="1"/>
    <col min="6" max="6" width="32.88671875" style="39" customWidth="1"/>
    <col min="7" max="8" width="25.77734375" style="39" customWidth="1"/>
    <col min="9" max="9" width="7.6640625" style="39" customWidth="1"/>
    <col min="10" max="16384" width="7.21875" style="39"/>
  </cols>
  <sheetData>
    <row r="1" spans="1:9" s="41" customFormat="1" x14ac:dyDescent="0.2">
      <c r="A1" s="38"/>
      <c r="B1" s="38"/>
      <c r="C1" s="38"/>
      <c r="D1" s="38"/>
      <c r="E1" s="38"/>
      <c r="F1" s="38"/>
      <c r="G1" s="38"/>
      <c r="H1" s="38"/>
      <c r="I1" s="38"/>
    </row>
    <row r="2" spans="1:9" s="42" customFormat="1" ht="24.75" customHeight="1" x14ac:dyDescent="0.2">
      <c r="A2" s="35"/>
      <c r="B2" s="36" t="s">
        <v>48</v>
      </c>
      <c r="C2" s="35"/>
      <c r="D2" s="36" t="s">
        <v>49</v>
      </c>
      <c r="E2" s="35"/>
      <c r="F2" s="36" t="s">
        <v>55</v>
      </c>
      <c r="G2" s="35"/>
      <c r="H2" s="36" t="s">
        <v>60</v>
      </c>
      <c r="I2" s="35"/>
    </row>
    <row r="3" spans="1:9" ht="24.95" customHeight="1" x14ac:dyDescent="0.2">
      <c r="A3" s="37" t="s">
        <v>31</v>
      </c>
      <c r="B3" s="16"/>
      <c r="C3" s="37" t="s">
        <v>50</v>
      </c>
      <c r="D3" s="54"/>
      <c r="E3" s="37" t="s">
        <v>56</v>
      </c>
      <c r="F3" s="20"/>
      <c r="G3" s="37" t="s">
        <v>61</v>
      </c>
      <c r="H3" s="56"/>
      <c r="I3" s="38"/>
    </row>
    <row r="4" spans="1:9" ht="24.95" customHeight="1" x14ac:dyDescent="0.2">
      <c r="A4" s="37" t="s">
        <v>35</v>
      </c>
      <c r="B4" s="75"/>
      <c r="C4" s="37" t="s">
        <v>51</v>
      </c>
      <c r="D4" s="54"/>
      <c r="E4" s="37" t="s">
        <v>57</v>
      </c>
      <c r="F4" s="20"/>
      <c r="G4" s="37" t="s">
        <v>62</v>
      </c>
      <c r="H4" s="56"/>
      <c r="I4" s="38"/>
    </row>
    <row r="5" spans="1:9" ht="24.95" customHeight="1" x14ac:dyDescent="0.2">
      <c r="A5" s="37" t="s">
        <v>36</v>
      </c>
      <c r="B5" s="17"/>
      <c r="C5" s="37" t="s">
        <v>52</v>
      </c>
      <c r="D5" s="55"/>
      <c r="E5" s="37" t="s">
        <v>58</v>
      </c>
      <c r="F5" s="20"/>
      <c r="G5" s="37" t="s">
        <v>63</v>
      </c>
      <c r="H5" s="56"/>
      <c r="I5" s="38"/>
    </row>
    <row r="6" spans="1:9" ht="24.95" customHeight="1" x14ac:dyDescent="0.2">
      <c r="A6" s="37" t="s">
        <v>46</v>
      </c>
      <c r="B6" s="17"/>
      <c r="C6" s="37" t="s">
        <v>53</v>
      </c>
      <c r="D6" s="54"/>
      <c r="E6" s="37" t="s">
        <v>59</v>
      </c>
      <c r="F6" s="19"/>
      <c r="G6" s="37" t="s">
        <v>64</v>
      </c>
      <c r="H6" s="56"/>
      <c r="I6" s="38"/>
    </row>
    <row r="7" spans="1:9" ht="24.95" customHeight="1" x14ac:dyDescent="0.2">
      <c r="A7" s="37" t="s">
        <v>47</v>
      </c>
      <c r="B7" s="16"/>
      <c r="C7" s="37" t="s">
        <v>54</v>
      </c>
      <c r="D7" s="19"/>
      <c r="E7" s="37" t="s">
        <v>32</v>
      </c>
      <c r="F7" s="56"/>
      <c r="G7" s="37" t="s">
        <v>65</v>
      </c>
      <c r="H7" s="56"/>
      <c r="I7" s="38"/>
    </row>
    <row r="8" spans="1:9" ht="24.95" customHeight="1" x14ac:dyDescent="0.2">
      <c r="A8" s="37" t="s">
        <v>75</v>
      </c>
      <c r="B8" s="16" t="str">
        <f>CONCATENATE(B6,B7)</f>
        <v/>
      </c>
      <c r="C8" s="37"/>
      <c r="D8" s="38"/>
      <c r="E8" s="37" t="s">
        <v>33</v>
      </c>
      <c r="F8" s="56"/>
      <c r="G8" s="37" t="s">
        <v>66</v>
      </c>
      <c r="H8" s="56"/>
      <c r="I8" s="38"/>
    </row>
    <row r="9" spans="1:9" ht="24.95" customHeight="1" x14ac:dyDescent="0.2">
      <c r="A9" s="37" t="s">
        <v>34</v>
      </c>
      <c r="B9" s="16"/>
      <c r="C9" s="37"/>
      <c r="D9" s="38"/>
      <c r="E9" s="37" t="s">
        <v>73</v>
      </c>
      <c r="F9" s="54"/>
      <c r="G9" s="37" t="s">
        <v>67</v>
      </c>
      <c r="H9" s="56"/>
      <c r="I9" s="38"/>
    </row>
    <row r="10" spans="1:9" ht="24.95" customHeight="1" x14ac:dyDescent="0.2">
      <c r="A10" s="37" t="s">
        <v>40</v>
      </c>
      <c r="B10" s="18"/>
      <c r="C10" s="37"/>
      <c r="D10" s="38"/>
      <c r="E10" s="37" t="s">
        <v>74</v>
      </c>
      <c r="F10" s="54"/>
      <c r="G10" s="37" t="s">
        <v>68</v>
      </c>
      <c r="H10" s="56"/>
      <c r="I10" s="38"/>
    </row>
    <row r="11" spans="1:9" ht="24.95" customHeight="1" x14ac:dyDescent="0.2">
      <c r="A11" s="37"/>
      <c r="B11" s="37"/>
      <c r="C11" s="37"/>
      <c r="D11" s="38"/>
      <c r="E11" s="37" t="s">
        <v>37</v>
      </c>
      <c r="F11" s="55"/>
      <c r="G11" s="37" t="s">
        <v>69</v>
      </c>
      <c r="H11" s="56"/>
      <c r="I11" s="38"/>
    </row>
    <row r="12" spans="1:9" ht="24.95" customHeight="1" x14ac:dyDescent="0.2">
      <c r="A12" s="37"/>
      <c r="B12" s="37"/>
      <c r="C12" s="37"/>
      <c r="D12" s="38"/>
      <c r="E12" s="37" t="s">
        <v>38</v>
      </c>
      <c r="F12" s="55"/>
      <c r="G12" s="37" t="s">
        <v>70</v>
      </c>
      <c r="H12" s="56"/>
      <c r="I12" s="38"/>
    </row>
    <row r="13" spans="1:9" ht="24.95" customHeight="1" x14ac:dyDescent="0.2">
      <c r="A13" s="37"/>
      <c r="B13" s="37"/>
      <c r="C13" s="37"/>
      <c r="D13" s="38"/>
      <c r="E13" s="37" t="s">
        <v>76</v>
      </c>
      <c r="F13" s="55"/>
      <c r="G13" s="37" t="s">
        <v>71</v>
      </c>
      <c r="H13" s="56"/>
      <c r="I13" s="38"/>
    </row>
    <row r="14" spans="1:9" ht="24.95" customHeight="1" x14ac:dyDescent="0.2">
      <c r="A14" s="37"/>
      <c r="B14" s="37"/>
      <c r="C14" s="37"/>
      <c r="D14" s="38"/>
      <c r="E14" s="37" t="s">
        <v>39</v>
      </c>
      <c r="F14" s="55"/>
      <c r="G14" s="37" t="s">
        <v>72</v>
      </c>
      <c r="H14" s="56"/>
      <c r="I14" s="38"/>
    </row>
    <row r="15" spans="1:9" ht="24.95" customHeight="1" x14ac:dyDescent="0.2">
      <c r="A15" s="37"/>
      <c r="B15" s="38"/>
      <c r="C15" s="38"/>
      <c r="D15" s="38"/>
      <c r="E15" s="38"/>
      <c r="F15" s="38"/>
      <c r="G15" s="37" t="s">
        <v>78</v>
      </c>
      <c r="H15" s="56"/>
      <c r="I15" s="38"/>
    </row>
    <row r="16" spans="1:9" ht="24.95" customHeight="1" x14ac:dyDescent="0.2">
      <c r="A16" s="37"/>
      <c r="B16" s="38"/>
      <c r="C16" s="38"/>
      <c r="D16" s="38"/>
      <c r="E16" s="38"/>
      <c r="F16" s="38"/>
      <c r="G16" s="38"/>
      <c r="H16" s="38"/>
      <c r="I16" s="38"/>
    </row>
    <row r="17" spans="1:9" x14ac:dyDescent="0.2">
      <c r="A17" s="21"/>
      <c r="B17" s="21"/>
      <c r="C17" s="21"/>
      <c r="D17" s="21"/>
      <c r="E17" s="21"/>
      <c r="F17" s="21"/>
      <c r="G17" s="21"/>
      <c r="H17" s="21"/>
      <c r="I17" s="21"/>
    </row>
    <row r="18" spans="1:9" x14ac:dyDescent="0.2">
      <c r="A18" s="21"/>
      <c r="B18" s="21"/>
      <c r="C18" s="21"/>
      <c r="D18" s="21"/>
      <c r="E18" s="21"/>
      <c r="F18" s="21"/>
      <c r="G18" s="21"/>
      <c r="H18" s="21"/>
      <c r="I18" s="21"/>
    </row>
    <row r="19" spans="1:9" ht="15.75" x14ac:dyDescent="0.25">
      <c r="A19" s="21"/>
      <c r="B19" s="21"/>
      <c r="C19" s="21"/>
      <c r="D19" s="94" t="s">
        <v>103</v>
      </c>
      <c r="E19" s="94"/>
      <c r="F19" s="21"/>
      <c r="G19" s="21"/>
      <c r="H19" s="21"/>
      <c r="I19" s="21"/>
    </row>
    <row r="20" spans="1:9" ht="15.75" x14ac:dyDescent="0.25">
      <c r="A20" s="21"/>
      <c r="B20" s="43"/>
      <c r="C20" s="44"/>
      <c r="D20" s="34" t="s">
        <v>77</v>
      </c>
      <c r="E20" s="34" t="s">
        <v>102</v>
      </c>
      <c r="F20" s="21"/>
      <c r="G20" s="21"/>
      <c r="H20" s="21"/>
      <c r="I20" s="21"/>
    </row>
    <row r="21" spans="1:9" ht="15.75" x14ac:dyDescent="0.25">
      <c r="A21" s="21"/>
      <c r="B21" s="45" t="s">
        <v>88</v>
      </c>
      <c r="C21" s="46" t="s">
        <v>104</v>
      </c>
      <c r="D21" s="57"/>
      <c r="E21" s="58"/>
      <c r="F21" s="21"/>
      <c r="G21" s="21"/>
      <c r="H21" s="21"/>
      <c r="I21" s="21"/>
    </row>
    <row r="22" spans="1:9" ht="15.75" x14ac:dyDescent="0.25">
      <c r="A22" s="21"/>
      <c r="B22" s="47"/>
      <c r="C22" s="48" t="s">
        <v>79</v>
      </c>
      <c r="D22" s="59"/>
      <c r="E22" s="60"/>
      <c r="F22" s="21"/>
      <c r="G22" s="21"/>
      <c r="H22" s="21"/>
      <c r="I22" s="21"/>
    </row>
    <row r="23" spans="1:9" ht="15.75" x14ac:dyDescent="0.25">
      <c r="A23" s="21"/>
      <c r="B23" s="47"/>
      <c r="C23" s="48" t="s">
        <v>100</v>
      </c>
      <c r="D23" s="61"/>
      <c r="E23" s="60"/>
      <c r="F23" s="21"/>
      <c r="G23" s="21"/>
      <c r="H23" s="21"/>
      <c r="I23" s="21"/>
    </row>
    <row r="24" spans="1:9" ht="15.75" x14ac:dyDescent="0.25">
      <c r="A24" s="21"/>
      <c r="B24" s="49"/>
      <c r="C24" s="50" t="s">
        <v>101</v>
      </c>
      <c r="D24" s="62"/>
      <c r="E24" s="63"/>
      <c r="F24" s="21"/>
      <c r="G24" s="21"/>
      <c r="H24" s="21"/>
      <c r="I24" s="21"/>
    </row>
    <row r="25" spans="1:9" ht="15.75" x14ac:dyDescent="0.25">
      <c r="A25" s="21"/>
      <c r="B25" s="47" t="s">
        <v>105</v>
      </c>
      <c r="C25" s="48" t="s">
        <v>89</v>
      </c>
      <c r="D25" s="57"/>
      <c r="E25" s="58"/>
      <c r="F25" s="21"/>
      <c r="G25" s="21"/>
      <c r="H25" s="21"/>
      <c r="I25" s="21"/>
    </row>
    <row r="26" spans="1:9" ht="15.75" x14ac:dyDescent="0.25">
      <c r="A26" s="21"/>
      <c r="B26" s="47"/>
      <c r="C26" s="48" t="s">
        <v>90</v>
      </c>
      <c r="D26" s="59"/>
      <c r="E26" s="60"/>
      <c r="F26" s="21"/>
      <c r="G26" s="21"/>
      <c r="H26" s="21"/>
      <c r="I26" s="21"/>
    </row>
    <row r="27" spans="1:9" ht="15.75" x14ac:dyDescent="0.25">
      <c r="A27" s="21"/>
      <c r="B27" s="69"/>
      <c r="C27" s="70" t="s">
        <v>91</v>
      </c>
      <c r="D27" s="71"/>
      <c r="E27" s="72"/>
      <c r="F27" s="21"/>
      <c r="G27" s="21"/>
      <c r="H27" s="21"/>
      <c r="I27" s="21"/>
    </row>
    <row r="28" spans="1:9" ht="15.75" x14ac:dyDescent="0.25">
      <c r="A28" s="21"/>
      <c r="B28" s="51" t="s">
        <v>86</v>
      </c>
      <c r="C28" s="46" t="s">
        <v>80</v>
      </c>
      <c r="D28" s="57"/>
      <c r="E28" s="58"/>
      <c r="F28" s="21"/>
      <c r="G28" s="21"/>
      <c r="H28" s="21"/>
      <c r="I28" s="21"/>
    </row>
    <row r="29" spans="1:9" ht="15.75" x14ac:dyDescent="0.25">
      <c r="A29" s="21"/>
      <c r="B29" s="52"/>
      <c r="C29" s="48" t="s">
        <v>81</v>
      </c>
      <c r="D29" s="59"/>
      <c r="E29" s="60"/>
      <c r="F29" s="21"/>
      <c r="G29" s="21"/>
      <c r="H29" s="21"/>
      <c r="I29" s="21"/>
    </row>
    <row r="30" spans="1:9" ht="15.75" x14ac:dyDescent="0.25">
      <c r="A30" s="21"/>
      <c r="B30" s="52"/>
      <c r="C30" s="48" t="s">
        <v>82</v>
      </c>
      <c r="D30" s="59"/>
      <c r="E30" s="60"/>
      <c r="F30" s="21"/>
      <c r="G30" s="21"/>
      <c r="H30" s="21"/>
      <c r="I30" s="21"/>
    </row>
    <row r="31" spans="1:9" ht="15.75" x14ac:dyDescent="0.25">
      <c r="A31" s="21"/>
      <c r="B31" s="52"/>
      <c r="C31" s="48" t="s">
        <v>83</v>
      </c>
      <c r="D31" s="59"/>
      <c r="E31" s="60"/>
      <c r="F31" s="21"/>
      <c r="G31" s="21"/>
      <c r="H31" s="21"/>
      <c r="I31" s="21"/>
    </row>
    <row r="32" spans="1:9" ht="15.75" x14ac:dyDescent="0.25">
      <c r="A32" s="21"/>
      <c r="B32" s="52"/>
      <c r="C32" s="48" t="s">
        <v>84</v>
      </c>
      <c r="D32" s="59"/>
      <c r="E32" s="60"/>
      <c r="F32" s="21"/>
      <c r="G32" s="21"/>
      <c r="H32" s="21"/>
      <c r="I32" s="21"/>
    </row>
    <row r="33" spans="1:9" ht="15.75" x14ac:dyDescent="0.25">
      <c r="A33" s="21"/>
      <c r="B33" s="52"/>
      <c r="C33" s="48" t="s">
        <v>85</v>
      </c>
      <c r="D33" s="59"/>
      <c r="E33" s="60"/>
      <c r="F33" s="21"/>
      <c r="G33" s="21"/>
      <c r="H33" s="21"/>
      <c r="I33" s="21"/>
    </row>
    <row r="34" spans="1:9" ht="15.75" x14ac:dyDescent="0.25">
      <c r="A34" s="21"/>
      <c r="B34" s="52"/>
      <c r="C34" s="48" t="s">
        <v>94</v>
      </c>
      <c r="D34" s="59"/>
      <c r="E34" s="60"/>
      <c r="F34" s="21"/>
      <c r="G34" s="21"/>
      <c r="H34" s="21"/>
      <c r="I34" s="21"/>
    </row>
    <row r="35" spans="1:9" ht="15.75" x14ac:dyDescent="0.25">
      <c r="A35" s="21"/>
      <c r="B35" s="52"/>
      <c r="C35" s="48" t="s">
        <v>93</v>
      </c>
      <c r="D35" s="59"/>
      <c r="E35" s="60"/>
      <c r="F35" s="21"/>
      <c r="G35" s="21"/>
      <c r="H35" s="21"/>
      <c r="I35" s="21"/>
    </row>
    <row r="36" spans="1:9" ht="15.75" x14ac:dyDescent="0.25">
      <c r="A36" s="21"/>
      <c r="B36" s="52"/>
      <c r="C36" s="48" t="s">
        <v>95</v>
      </c>
      <c r="D36" s="59"/>
      <c r="E36" s="60"/>
      <c r="F36" s="21"/>
      <c r="G36" s="21"/>
      <c r="H36" s="21"/>
      <c r="I36" s="21"/>
    </row>
    <row r="37" spans="1:9" ht="15.75" x14ac:dyDescent="0.25">
      <c r="A37" s="21"/>
      <c r="B37" s="52"/>
      <c r="C37" s="48" t="s">
        <v>96</v>
      </c>
      <c r="D37" s="59"/>
      <c r="E37" s="60"/>
      <c r="F37" s="21"/>
      <c r="G37" s="21"/>
      <c r="H37" s="21"/>
      <c r="I37" s="21"/>
    </row>
    <row r="38" spans="1:9" ht="15.75" x14ac:dyDescent="0.25">
      <c r="A38" s="21"/>
      <c r="B38" s="52"/>
      <c r="C38" s="48" t="s">
        <v>92</v>
      </c>
      <c r="D38" s="59"/>
      <c r="E38" s="60"/>
      <c r="F38" s="21"/>
      <c r="G38" s="21"/>
      <c r="H38" s="21"/>
      <c r="I38" s="21"/>
    </row>
    <row r="39" spans="1:9" ht="15.75" x14ac:dyDescent="0.25">
      <c r="A39" s="21"/>
      <c r="B39" s="52"/>
      <c r="C39" s="48" t="s">
        <v>97</v>
      </c>
      <c r="D39" s="59"/>
      <c r="E39" s="60"/>
      <c r="F39" s="21"/>
      <c r="G39" s="21"/>
      <c r="H39" s="21"/>
      <c r="I39" s="21"/>
    </row>
    <row r="40" spans="1:9" ht="15.75" x14ac:dyDescent="0.25">
      <c r="A40" s="21"/>
      <c r="B40" s="52"/>
      <c r="C40" s="48" t="s">
        <v>98</v>
      </c>
      <c r="D40" s="59"/>
      <c r="E40" s="60"/>
      <c r="F40" s="21"/>
      <c r="G40" s="21"/>
      <c r="H40" s="21"/>
      <c r="I40" s="21"/>
    </row>
    <row r="41" spans="1:9" ht="15.75" x14ac:dyDescent="0.25">
      <c r="A41" s="21"/>
      <c r="B41" s="53"/>
      <c r="C41" s="50" t="s">
        <v>99</v>
      </c>
      <c r="D41" s="64"/>
      <c r="E41" s="63"/>
      <c r="F41" s="21"/>
      <c r="G41" s="21"/>
      <c r="H41" s="21"/>
      <c r="I41" s="21"/>
    </row>
    <row r="42" spans="1:9" ht="15.75" x14ac:dyDescent="0.25">
      <c r="A42" s="21"/>
      <c r="B42" s="51" t="s">
        <v>87</v>
      </c>
      <c r="C42" s="46" t="s">
        <v>80</v>
      </c>
      <c r="D42" s="57"/>
      <c r="E42" s="58"/>
      <c r="F42" s="21"/>
      <c r="G42" s="21"/>
      <c r="H42" s="21"/>
      <c r="I42" s="21"/>
    </row>
    <row r="43" spans="1:9" ht="15.75" x14ac:dyDescent="0.25">
      <c r="A43" s="21"/>
      <c r="B43" s="52"/>
      <c r="C43" s="48" t="s">
        <v>81</v>
      </c>
      <c r="D43" s="59"/>
      <c r="E43" s="60"/>
      <c r="F43" s="21"/>
      <c r="G43" s="21"/>
      <c r="H43" s="21"/>
      <c r="I43" s="21"/>
    </row>
    <row r="44" spans="1:9" ht="15.75" x14ac:dyDescent="0.25">
      <c r="A44" s="21"/>
      <c r="B44" s="52"/>
      <c r="C44" s="48" t="s">
        <v>82</v>
      </c>
      <c r="D44" s="59"/>
      <c r="E44" s="60"/>
      <c r="F44" s="21"/>
      <c r="G44" s="21"/>
      <c r="H44" s="21"/>
      <c r="I44" s="21"/>
    </row>
    <row r="45" spans="1:9" ht="15.75" x14ac:dyDescent="0.25">
      <c r="A45" s="21"/>
      <c r="B45" s="52"/>
      <c r="C45" s="48" t="s">
        <v>83</v>
      </c>
      <c r="D45" s="59"/>
      <c r="E45" s="60"/>
      <c r="F45" s="21"/>
      <c r="G45" s="21"/>
      <c r="H45" s="21"/>
      <c r="I45" s="21"/>
    </row>
    <row r="46" spans="1:9" ht="15.75" x14ac:dyDescent="0.25">
      <c r="A46" s="21"/>
      <c r="B46" s="52"/>
      <c r="C46" s="48" t="s">
        <v>84</v>
      </c>
      <c r="D46" s="65"/>
      <c r="E46" s="66"/>
      <c r="F46" s="21"/>
      <c r="G46" s="21"/>
      <c r="H46" s="21"/>
      <c r="I46" s="21"/>
    </row>
    <row r="47" spans="1:9" ht="15.75" x14ac:dyDescent="0.25">
      <c r="A47" s="21"/>
      <c r="B47" s="53"/>
      <c r="C47" s="50" t="s">
        <v>85</v>
      </c>
      <c r="D47" s="67"/>
      <c r="E47" s="68"/>
      <c r="F47" s="21"/>
      <c r="G47" s="21"/>
      <c r="H47" s="21"/>
      <c r="I47" s="21"/>
    </row>
    <row r="48" spans="1:9" x14ac:dyDescent="0.2">
      <c r="A48" s="21"/>
      <c r="B48" s="21"/>
      <c r="C48" s="40"/>
      <c r="D48" s="21"/>
      <c r="E48" s="21"/>
      <c r="F48" s="21"/>
      <c r="G48" s="21"/>
      <c r="H48" s="21"/>
      <c r="I48" s="21"/>
    </row>
    <row r="49" spans="1:9" x14ac:dyDescent="0.2">
      <c r="A49" s="21"/>
      <c r="B49" s="21"/>
      <c r="C49" s="40"/>
      <c r="D49" s="21"/>
      <c r="E49" s="21"/>
      <c r="F49" s="21"/>
      <c r="G49" s="21"/>
      <c r="H49" s="21"/>
      <c r="I49" s="21"/>
    </row>
  </sheetData>
  <mergeCells count="1">
    <mergeCell ref="D19:E19"/>
  </mergeCells>
  <phoneticPr fontId="4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65"/>
  <sheetViews>
    <sheetView zoomScale="80" zoomScaleNormal="80" workbookViewId="0">
      <selection activeCell="R24" sqref="R24"/>
    </sheetView>
  </sheetViews>
  <sheetFormatPr defaultRowHeight="15" x14ac:dyDescent="0.2"/>
  <cols>
    <col min="1" max="7" width="8.88671875" style="13"/>
    <col min="8" max="10" width="11.109375" style="13" customWidth="1"/>
    <col min="11" max="11" width="12.5546875" style="13" customWidth="1"/>
    <col min="12" max="16384" width="8.88671875" style="13"/>
  </cols>
  <sheetData>
    <row r="1" spans="1:11" ht="15.75" customHeight="1" x14ac:dyDescent="0.2">
      <c r="A1" s="12"/>
      <c r="B1" s="12"/>
      <c r="C1" s="103" t="s">
        <v>41</v>
      </c>
      <c r="D1" s="103"/>
      <c r="E1" s="103"/>
      <c r="F1" s="103"/>
      <c r="G1" s="103"/>
      <c r="H1" s="103"/>
      <c r="I1" s="103"/>
      <c r="J1" s="103"/>
      <c r="K1" s="103"/>
    </row>
    <row r="2" spans="1:11" ht="15" customHeight="1" x14ac:dyDescent="0.2">
      <c r="A2" s="12"/>
      <c r="B2" s="12"/>
      <c r="C2" s="103"/>
      <c r="D2" s="103"/>
      <c r="E2" s="103"/>
      <c r="F2" s="103"/>
      <c r="G2" s="103"/>
      <c r="H2" s="103"/>
      <c r="I2" s="103"/>
      <c r="J2" s="103"/>
      <c r="K2" s="103"/>
    </row>
    <row r="3" spans="1:11" ht="15" customHeight="1" x14ac:dyDescent="0.2">
      <c r="A3" s="12"/>
      <c r="B3" s="12"/>
      <c r="C3" s="98"/>
      <c r="D3" s="98"/>
      <c r="E3" s="98"/>
      <c r="F3" s="98"/>
      <c r="G3" s="98"/>
      <c r="H3" s="98"/>
      <c r="I3" s="98"/>
      <c r="J3" s="98"/>
      <c r="K3" s="98"/>
    </row>
    <row r="4" spans="1:11" ht="15" customHeight="1" x14ac:dyDescent="0.2">
      <c r="A4" s="12"/>
      <c r="B4" s="12"/>
      <c r="C4" s="98"/>
      <c r="D4" s="98"/>
      <c r="E4" s="98"/>
      <c r="F4" s="98"/>
      <c r="G4" s="98"/>
      <c r="H4" s="98"/>
      <c r="I4" s="98"/>
      <c r="J4" s="98"/>
      <c r="K4" s="98"/>
    </row>
    <row r="5" spans="1:11" x14ac:dyDescent="0.2">
      <c r="A5" s="12"/>
      <c r="B5" s="12"/>
      <c r="C5" s="110"/>
      <c r="D5" s="110"/>
      <c r="E5" s="110"/>
      <c r="F5" s="110"/>
      <c r="G5" s="110"/>
      <c r="H5" s="110"/>
      <c r="I5" s="110"/>
      <c r="J5" s="110"/>
      <c r="K5" s="110"/>
    </row>
    <row r="6" spans="1:11" x14ac:dyDescent="0.2">
      <c r="A6" s="12"/>
      <c r="B6" s="12"/>
      <c r="C6" s="14"/>
      <c r="D6" s="14"/>
      <c r="E6" s="14"/>
      <c r="F6" s="14"/>
      <c r="G6" s="14"/>
      <c r="H6" s="14"/>
      <c r="I6" s="14"/>
      <c r="J6" s="14"/>
      <c r="K6" s="14"/>
    </row>
    <row r="7" spans="1:11" x14ac:dyDescent="0.2">
      <c r="A7" s="12"/>
      <c r="B7" s="12"/>
      <c r="C7" s="14"/>
      <c r="D7" s="14"/>
      <c r="E7" s="14"/>
      <c r="F7" s="14"/>
      <c r="G7" s="14"/>
      <c r="H7" s="14"/>
      <c r="I7" s="14"/>
      <c r="J7" s="14"/>
      <c r="K7" s="14"/>
    </row>
    <row r="8" spans="1:11" ht="15" customHeight="1" x14ac:dyDescent="0.2">
      <c r="A8" s="12"/>
      <c r="B8" s="12"/>
      <c r="C8" s="108" t="s">
        <v>20</v>
      </c>
      <c r="D8" s="108"/>
      <c r="E8" s="108"/>
      <c r="F8" s="108"/>
      <c r="G8" s="108"/>
      <c r="H8" s="100" t="s">
        <v>21</v>
      </c>
      <c r="I8" s="100" t="s">
        <v>22</v>
      </c>
      <c r="J8" s="100" t="s">
        <v>23</v>
      </c>
      <c r="K8" s="100" t="s">
        <v>24</v>
      </c>
    </row>
    <row r="9" spans="1:11" x14ac:dyDescent="0.2">
      <c r="A9" s="12"/>
      <c r="B9" s="12"/>
      <c r="C9" s="108"/>
      <c r="D9" s="108"/>
      <c r="E9" s="108"/>
      <c r="F9" s="108"/>
      <c r="G9" s="108"/>
      <c r="H9" s="100"/>
      <c r="I9" s="100"/>
      <c r="J9" s="100"/>
      <c r="K9" s="100"/>
    </row>
    <row r="10" spans="1:11" ht="15" customHeight="1" x14ac:dyDescent="0.2">
      <c r="A10" s="12"/>
      <c r="B10" s="12"/>
      <c r="C10" s="95" t="s">
        <v>25</v>
      </c>
      <c r="D10" s="95"/>
      <c r="E10" s="95"/>
      <c r="F10" s="95"/>
      <c r="G10" s="95"/>
      <c r="H10" s="106">
        <v>-0.25</v>
      </c>
      <c r="I10" s="106">
        <v>0.5</v>
      </c>
      <c r="J10" s="107" t="str">
        <f>IF(Accel_ZeroMS="","",Accel_ZeroMS)</f>
        <v/>
      </c>
      <c r="K10" s="102"/>
    </row>
    <row r="11" spans="1:11" ht="15" customHeight="1" x14ac:dyDescent="0.2">
      <c r="A11" s="12"/>
      <c r="B11" s="12"/>
      <c r="C11" s="95"/>
      <c r="D11" s="95"/>
      <c r="E11" s="95"/>
      <c r="F11" s="95"/>
      <c r="G11" s="95"/>
      <c r="H11" s="106"/>
      <c r="I11" s="106"/>
      <c r="J11" s="107"/>
      <c r="K11" s="102"/>
    </row>
    <row r="12" spans="1:11" ht="12.75" customHeight="1" x14ac:dyDescent="0.2">
      <c r="A12" s="12"/>
      <c r="B12" s="12"/>
      <c r="C12" s="95" t="s">
        <v>26</v>
      </c>
      <c r="D12" s="95"/>
      <c r="E12" s="95"/>
      <c r="F12" s="95"/>
      <c r="G12" s="95"/>
      <c r="H12" s="99">
        <v>9.5</v>
      </c>
      <c r="I12" s="99">
        <v>10.5</v>
      </c>
      <c r="J12" s="101" t="str">
        <f>IF(Accel_Peak="","",Accel_Peak)</f>
        <v/>
      </c>
      <c r="K12" s="102"/>
    </row>
    <row r="13" spans="1:11" ht="12.75" customHeight="1" x14ac:dyDescent="0.2">
      <c r="A13" s="12"/>
      <c r="B13" s="12"/>
      <c r="C13" s="95"/>
      <c r="D13" s="95"/>
      <c r="E13" s="95"/>
      <c r="F13" s="95"/>
      <c r="G13" s="95"/>
      <c r="H13" s="99"/>
      <c r="I13" s="99"/>
      <c r="J13" s="101"/>
      <c r="K13" s="102"/>
    </row>
    <row r="14" spans="1:11" ht="12.75" customHeight="1" x14ac:dyDescent="0.2">
      <c r="A14" s="12"/>
      <c r="B14" s="12"/>
      <c r="C14" s="95" t="s">
        <v>27</v>
      </c>
      <c r="D14" s="95"/>
      <c r="E14" s="95"/>
      <c r="F14" s="95"/>
      <c r="G14" s="95"/>
      <c r="H14" s="96">
        <v>88</v>
      </c>
      <c r="I14" s="96">
        <v>94</v>
      </c>
      <c r="J14" s="97" t="str">
        <f xml:space="preserve"> IF(Accel_TimeToZero="","",Accel_TimeToZero)</f>
        <v/>
      </c>
      <c r="K14" s="102"/>
    </row>
    <row r="15" spans="1:11" ht="12.75" customHeight="1" x14ac:dyDescent="0.2">
      <c r="A15" s="12"/>
      <c r="B15" s="12"/>
      <c r="C15" s="95"/>
      <c r="D15" s="95"/>
      <c r="E15" s="95"/>
      <c r="F15" s="95"/>
      <c r="G15" s="95"/>
      <c r="H15" s="96"/>
      <c r="I15" s="96"/>
      <c r="J15" s="97"/>
      <c r="K15" s="102"/>
    </row>
    <row r="16" spans="1:11" ht="12.75" customHeight="1" x14ac:dyDescent="0.2">
      <c r="A16" s="12"/>
      <c r="B16" s="12"/>
      <c r="C16" s="95" t="s">
        <v>28</v>
      </c>
      <c r="D16" s="95"/>
      <c r="E16" s="95"/>
      <c r="F16" s="95"/>
      <c r="G16" s="95"/>
      <c r="H16" s="99">
        <v>14.8</v>
      </c>
      <c r="I16" s="99">
        <v>16.2</v>
      </c>
      <c r="J16" s="101" t="str">
        <f>IF(Accel_TotalDeltaV="","",Accel_TotalDeltaV)</f>
        <v/>
      </c>
      <c r="K16" s="102"/>
    </row>
    <row r="17" spans="1:11" ht="12.75" customHeight="1" x14ac:dyDescent="0.2">
      <c r="A17" s="12"/>
      <c r="B17" s="12"/>
      <c r="C17" s="95"/>
      <c r="D17" s="95"/>
      <c r="E17" s="95"/>
      <c r="F17" s="95"/>
      <c r="G17" s="95"/>
      <c r="H17" s="99"/>
      <c r="I17" s="99"/>
      <c r="J17" s="101"/>
      <c r="K17" s="102"/>
    </row>
    <row r="18" spans="1:11" x14ac:dyDescent="0.2">
      <c r="A18" s="12"/>
      <c r="B18" s="12"/>
      <c r="C18" s="14"/>
      <c r="D18" s="14"/>
      <c r="E18" s="14"/>
      <c r="F18" s="14"/>
      <c r="G18" s="14"/>
      <c r="H18" s="15"/>
      <c r="I18" s="15"/>
      <c r="J18" s="15"/>
      <c r="K18" s="15"/>
    </row>
    <row r="19" spans="1:11" x14ac:dyDescent="0.2">
      <c r="A19" s="12"/>
      <c r="B19" s="12"/>
      <c r="C19" s="109" t="s">
        <v>29</v>
      </c>
      <c r="D19" s="109"/>
      <c r="E19" s="109"/>
      <c r="F19" s="109"/>
      <c r="G19" s="109"/>
      <c r="H19" s="14"/>
      <c r="I19" s="14"/>
      <c r="J19" s="14"/>
      <c r="K19" s="14"/>
    </row>
    <row r="20" spans="1:11" x14ac:dyDescent="0.2">
      <c r="A20" s="12"/>
      <c r="B20" s="12"/>
      <c r="C20" s="109"/>
      <c r="D20" s="109"/>
      <c r="E20" s="109"/>
      <c r="F20" s="109"/>
      <c r="G20" s="109"/>
      <c r="H20" s="14"/>
      <c r="I20" s="14"/>
      <c r="J20" s="14"/>
      <c r="K20" s="14"/>
    </row>
    <row r="21" spans="1:11" x14ac:dyDescent="0.2">
      <c r="A21" s="12"/>
      <c r="B21" s="12"/>
      <c r="C21" s="14"/>
      <c r="D21" s="14"/>
      <c r="E21" s="14"/>
      <c r="F21" s="14"/>
      <c r="G21" s="14"/>
      <c r="H21" s="14"/>
      <c r="I21" s="14"/>
      <c r="J21" s="14"/>
      <c r="K21" s="14"/>
    </row>
    <row r="22" spans="1:11" x14ac:dyDescent="0.2">
      <c r="A22" s="12"/>
      <c r="B22" s="12"/>
      <c r="C22" s="14"/>
      <c r="D22" s="14"/>
      <c r="E22" s="14"/>
      <c r="F22" s="14"/>
      <c r="G22" s="14"/>
      <c r="H22" s="14"/>
      <c r="I22" s="14"/>
      <c r="J22" s="14"/>
      <c r="K22" s="14"/>
    </row>
    <row r="23" spans="1:11" x14ac:dyDescent="0.2">
      <c r="A23" s="12"/>
      <c r="B23" s="12"/>
      <c r="C23" s="14"/>
      <c r="D23" s="14"/>
      <c r="E23" s="14"/>
      <c r="F23" s="14"/>
      <c r="G23" s="14"/>
      <c r="H23" s="14"/>
      <c r="I23" s="14"/>
      <c r="J23" s="14"/>
      <c r="K23" s="14"/>
    </row>
    <row r="24" spans="1:11" x14ac:dyDescent="0.2">
      <c r="A24" s="12"/>
      <c r="B24" s="12"/>
      <c r="C24" s="14"/>
      <c r="D24" s="14"/>
      <c r="E24" s="14"/>
      <c r="F24" s="14"/>
      <c r="G24" s="14"/>
      <c r="H24" s="14"/>
      <c r="I24" s="14"/>
      <c r="J24" s="14"/>
      <c r="K24" s="14"/>
    </row>
    <row r="25" spans="1:11" x14ac:dyDescent="0.2">
      <c r="A25" s="12"/>
      <c r="B25" s="12"/>
      <c r="C25" s="14"/>
      <c r="D25" s="14"/>
      <c r="E25" s="14"/>
      <c r="F25" s="14"/>
      <c r="G25" s="14"/>
      <c r="H25" s="14"/>
      <c r="I25" s="14"/>
      <c r="J25" s="14"/>
      <c r="K25" s="14"/>
    </row>
    <row r="26" spans="1:11" x14ac:dyDescent="0.2">
      <c r="A26" s="12"/>
      <c r="B26" s="12"/>
      <c r="C26" s="14"/>
      <c r="D26" s="14"/>
      <c r="E26" s="14"/>
      <c r="F26" s="14"/>
      <c r="G26" s="14"/>
      <c r="H26" s="14"/>
      <c r="I26" s="14"/>
      <c r="J26" s="14"/>
      <c r="K26" s="14"/>
    </row>
    <row r="27" spans="1:11" x14ac:dyDescent="0.2">
      <c r="A27" s="12"/>
      <c r="B27" s="12"/>
      <c r="C27" s="14"/>
      <c r="D27" s="14"/>
      <c r="E27" s="14"/>
      <c r="F27" s="14"/>
      <c r="G27" s="14"/>
      <c r="H27" s="14"/>
      <c r="I27" s="14"/>
      <c r="J27" s="14"/>
      <c r="K27" s="14"/>
    </row>
    <row r="28" spans="1:11" x14ac:dyDescent="0.2">
      <c r="A28" s="12"/>
      <c r="B28" s="12"/>
      <c r="C28" s="14"/>
      <c r="D28" s="14"/>
      <c r="E28" s="14"/>
      <c r="F28" s="14"/>
      <c r="G28" s="14"/>
      <c r="H28" s="14"/>
      <c r="I28" s="14"/>
      <c r="J28" s="14"/>
      <c r="K28" s="14"/>
    </row>
    <row r="29" spans="1:11" x14ac:dyDescent="0.2">
      <c r="A29" s="12"/>
      <c r="B29" s="12"/>
      <c r="C29" s="14"/>
      <c r="D29" s="14"/>
      <c r="E29" s="14"/>
      <c r="F29" s="14"/>
      <c r="G29" s="14"/>
      <c r="H29" s="14"/>
      <c r="I29" s="14"/>
      <c r="J29" s="14"/>
      <c r="K29" s="14"/>
    </row>
    <row r="30" spans="1:11" x14ac:dyDescent="0.2">
      <c r="A30" s="12"/>
      <c r="B30" s="12"/>
      <c r="C30" s="14"/>
      <c r="D30" s="14"/>
      <c r="E30" s="14"/>
      <c r="F30" s="14"/>
      <c r="G30" s="14"/>
      <c r="H30" s="14"/>
      <c r="I30" s="14"/>
      <c r="J30" s="14"/>
      <c r="K30" s="14"/>
    </row>
    <row r="31" spans="1:11" x14ac:dyDescent="0.2">
      <c r="A31" s="12"/>
      <c r="B31" s="12"/>
      <c r="C31" s="14"/>
      <c r="D31" s="14"/>
      <c r="E31" s="14"/>
      <c r="F31" s="14"/>
      <c r="G31" s="14"/>
      <c r="H31" s="14"/>
      <c r="I31" s="14"/>
      <c r="J31" s="14"/>
      <c r="K31" s="14"/>
    </row>
    <row r="32" spans="1:11" x14ac:dyDescent="0.2">
      <c r="A32" s="12"/>
      <c r="B32" s="12"/>
      <c r="C32" s="14"/>
      <c r="D32" s="14"/>
      <c r="E32" s="14"/>
      <c r="F32" s="14"/>
      <c r="G32" s="14"/>
      <c r="H32" s="14"/>
      <c r="I32" s="14"/>
      <c r="J32" s="14"/>
      <c r="K32" s="14"/>
    </row>
    <row r="33" spans="1:11" x14ac:dyDescent="0.2">
      <c r="A33" s="12"/>
      <c r="B33" s="12"/>
      <c r="C33" s="14"/>
      <c r="D33" s="14"/>
      <c r="E33" s="14"/>
      <c r="F33" s="14"/>
      <c r="G33" s="14"/>
      <c r="H33" s="14"/>
      <c r="I33" s="14"/>
      <c r="J33" s="14"/>
      <c r="K33" s="14"/>
    </row>
    <row r="34" spans="1:11" x14ac:dyDescent="0.2">
      <c r="A34" s="12"/>
      <c r="B34" s="12"/>
      <c r="C34" s="14"/>
      <c r="D34" s="14"/>
      <c r="E34" s="14"/>
      <c r="F34" s="14"/>
      <c r="G34" s="14"/>
      <c r="H34" s="14"/>
      <c r="I34" s="14"/>
      <c r="J34" s="14"/>
      <c r="K34" s="14"/>
    </row>
    <row r="35" spans="1:11" x14ac:dyDescent="0.2">
      <c r="A35" s="12"/>
      <c r="B35" s="12"/>
      <c r="C35" s="14"/>
      <c r="D35" s="14"/>
      <c r="E35" s="14"/>
      <c r="F35" s="14"/>
      <c r="G35" s="14"/>
      <c r="H35" s="14"/>
      <c r="I35" s="14"/>
      <c r="J35" s="14"/>
      <c r="K35" s="14"/>
    </row>
    <row r="36" spans="1:11" x14ac:dyDescent="0.2">
      <c r="A36" s="12"/>
      <c r="B36" s="12"/>
      <c r="C36" s="14"/>
      <c r="D36" s="14"/>
      <c r="E36" s="14"/>
      <c r="F36" s="14"/>
      <c r="G36" s="14"/>
      <c r="H36" s="14"/>
      <c r="I36" s="14"/>
      <c r="J36" s="14"/>
      <c r="K36" s="14"/>
    </row>
    <row r="37" spans="1:11" x14ac:dyDescent="0.2">
      <c r="A37" s="12"/>
      <c r="B37" s="12"/>
      <c r="C37" s="14"/>
      <c r="D37" s="14"/>
      <c r="E37" s="14"/>
      <c r="F37" s="14"/>
      <c r="G37" s="14"/>
      <c r="H37" s="14"/>
      <c r="I37" s="14"/>
      <c r="J37" s="14"/>
      <c r="K37" s="14"/>
    </row>
    <row r="38" spans="1:11" x14ac:dyDescent="0.2">
      <c r="A38" s="12"/>
      <c r="B38" s="12"/>
      <c r="C38" s="14"/>
      <c r="D38" s="14"/>
      <c r="E38" s="14"/>
      <c r="F38" s="14"/>
      <c r="G38" s="14"/>
      <c r="H38" s="14"/>
      <c r="I38" s="14"/>
      <c r="J38" s="14"/>
      <c r="K38" s="14"/>
    </row>
    <row r="39" spans="1:11" x14ac:dyDescent="0.2">
      <c r="A39" s="12"/>
      <c r="B39" s="12"/>
      <c r="C39" s="14"/>
      <c r="D39" s="14"/>
      <c r="E39" s="14"/>
      <c r="F39" s="14"/>
      <c r="G39" s="14"/>
      <c r="H39" s="14"/>
      <c r="I39" s="14"/>
      <c r="J39" s="14"/>
      <c r="K39" s="14"/>
    </row>
    <row r="40" spans="1:11" x14ac:dyDescent="0.2">
      <c r="A40" s="12"/>
      <c r="B40" s="12"/>
      <c r="C40" s="14"/>
      <c r="D40" s="14"/>
      <c r="E40" s="14"/>
      <c r="F40" s="14"/>
      <c r="G40" s="14"/>
      <c r="H40" s="14"/>
      <c r="I40" s="14"/>
      <c r="J40" s="14"/>
      <c r="K40" s="14"/>
    </row>
    <row r="41" spans="1:11" x14ac:dyDescent="0.2">
      <c r="A41" s="12"/>
      <c r="B41" s="12"/>
      <c r="C41" s="14"/>
      <c r="D41" s="14"/>
      <c r="E41" s="14"/>
      <c r="F41" s="14"/>
      <c r="G41" s="14"/>
      <c r="H41" s="14"/>
      <c r="I41" s="14"/>
      <c r="J41" s="14"/>
      <c r="K41" s="14"/>
    </row>
    <row r="42" spans="1:11" x14ac:dyDescent="0.2">
      <c r="A42" s="12"/>
      <c r="B42" s="12"/>
      <c r="C42" s="104" t="s">
        <v>30</v>
      </c>
      <c r="D42" s="105"/>
      <c r="E42" s="105"/>
      <c r="F42" s="105"/>
      <c r="G42" s="105"/>
      <c r="H42" s="14"/>
      <c r="I42" s="14"/>
      <c r="J42" s="14"/>
      <c r="K42" s="14"/>
    </row>
    <row r="43" spans="1:11" x14ac:dyDescent="0.2">
      <c r="A43" s="12"/>
      <c r="B43" s="12"/>
      <c r="C43" s="104"/>
      <c r="D43" s="105"/>
      <c r="E43" s="105"/>
      <c r="F43" s="105"/>
      <c r="G43" s="105"/>
      <c r="H43" s="14"/>
      <c r="I43" s="14"/>
      <c r="J43" s="14"/>
      <c r="K43" s="14"/>
    </row>
    <row r="44" spans="1:11" x14ac:dyDescent="0.2">
      <c r="A44" s="12"/>
      <c r="B44" s="12"/>
      <c r="C44" s="14"/>
      <c r="D44" s="14"/>
      <c r="E44" s="14"/>
      <c r="F44" s="14"/>
      <c r="G44" s="14"/>
      <c r="H44" s="14"/>
      <c r="I44" s="14"/>
      <c r="J44" s="14"/>
      <c r="K44" s="14"/>
    </row>
    <row r="45" spans="1:11" x14ac:dyDescent="0.2">
      <c r="A45" s="12"/>
      <c r="B45" s="12"/>
      <c r="C45" s="14"/>
      <c r="D45" s="14"/>
      <c r="E45" s="14"/>
      <c r="F45" s="14"/>
      <c r="G45" s="14"/>
      <c r="H45" s="14"/>
      <c r="I45" s="14"/>
      <c r="J45" s="14"/>
      <c r="K45" s="14"/>
    </row>
    <row r="46" spans="1:11" x14ac:dyDescent="0.2">
      <c r="A46" s="12"/>
      <c r="B46" s="12"/>
      <c r="C46" s="14"/>
      <c r="D46" s="14"/>
      <c r="E46" s="14"/>
      <c r="F46" s="14"/>
      <c r="G46" s="14"/>
      <c r="H46" s="14"/>
      <c r="I46" s="14"/>
      <c r="J46" s="14"/>
      <c r="K46" s="14"/>
    </row>
    <row r="47" spans="1:11" x14ac:dyDescent="0.2">
      <c r="A47" s="12"/>
      <c r="B47" s="12"/>
      <c r="C47" s="14"/>
      <c r="D47" s="14"/>
      <c r="E47" s="14"/>
      <c r="F47" s="14"/>
      <c r="G47" s="14"/>
      <c r="H47" s="14"/>
      <c r="I47" s="14"/>
      <c r="J47" s="14"/>
      <c r="K47" s="14"/>
    </row>
    <row r="48" spans="1:11" x14ac:dyDescent="0.2">
      <c r="A48" s="12"/>
      <c r="B48" s="12"/>
      <c r="C48" s="14"/>
      <c r="D48" s="14"/>
      <c r="E48" s="14"/>
      <c r="F48" s="14"/>
      <c r="G48" s="14"/>
      <c r="H48" s="14"/>
      <c r="I48" s="14"/>
      <c r="J48" s="14"/>
      <c r="K48" s="14"/>
    </row>
    <row r="49" spans="1:11" x14ac:dyDescent="0.2">
      <c r="A49" s="12"/>
      <c r="B49" s="12"/>
      <c r="C49" s="14"/>
      <c r="D49" s="14"/>
      <c r="E49" s="14"/>
      <c r="F49" s="14"/>
      <c r="G49" s="14"/>
      <c r="H49" s="14"/>
      <c r="I49" s="14"/>
      <c r="J49" s="14"/>
      <c r="K49" s="14"/>
    </row>
    <row r="50" spans="1:11" x14ac:dyDescent="0.2">
      <c r="A50" s="12"/>
      <c r="B50" s="12"/>
      <c r="C50" s="14"/>
      <c r="D50" s="14"/>
      <c r="E50" s="14"/>
      <c r="F50" s="14"/>
      <c r="G50" s="14"/>
      <c r="H50" s="14"/>
      <c r="I50" s="14"/>
      <c r="J50" s="14"/>
      <c r="K50" s="14"/>
    </row>
    <row r="51" spans="1:11" x14ac:dyDescent="0.2">
      <c r="A51" s="12"/>
      <c r="B51" s="12"/>
      <c r="C51" s="14"/>
      <c r="D51" s="14"/>
      <c r="E51" s="14"/>
      <c r="F51" s="14"/>
      <c r="G51" s="14"/>
      <c r="H51" s="14"/>
      <c r="I51" s="14"/>
      <c r="J51" s="14"/>
      <c r="K51" s="14"/>
    </row>
    <row r="52" spans="1:11" x14ac:dyDescent="0.2">
      <c r="A52" s="12"/>
      <c r="B52" s="12"/>
      <c r="C52" s="14"/>
      <c r="D52" s="14"/>
      <c r="E52" s="14"/>
      <c r="F52" s="14"/>
      <c r="G52" s="14"/>
      <c r="H52" s="14"/>
      <c r="I52" s="14"/>
      <c r="J52" s="14"/>
      <c r="K52" s="14"/>
    </row>
    <row r="53" spans="1:11" x14ac:dyDescent="0.2">
      <c r="A53" s="12"/>
      <c r="B53" s="12"/>
      <c r="C53" s="14"/>
      <c r="D53" s="14"/>
      <c r="E53" s="14"/>
      <c r="F53" s="14"/>
      <c r="G53" s="14"/>
      <c r="H53" s="14"/>
      <c r="I53" s="14"/>
      <c r="J53" s="14"/>
      <c r="K53" s="14"/>
    </row>
    <row r="54" spans="1:11" x14ac:dyDescent="0.2">
      <c r="A54" s="12"/>
      <c r="B54" s="12"/>
      <c r="C54" s="14"/>
      <c r="D54" s="14"/>
      <c r="E54" s="14"/>
      <c r="F54" s="14"/>
      <c r="G54" s="14"/>
      <c r="H54" s="14"/>
      <c r="I54" s="14"/>
      <c r="J54" s="14"/>
      <c r="K54" s="14"/>
    </row>
    <row r="55" spans="1:11" x14ac:dyDescent="0.2">
      <c r="A55" s="12"/>
      <c r="B55" s="12"/>
      <c r="C55" s="14"/>
      <c r="D55" s="14"/>
      <c r="E55" s="14"/>
      <c r="F55" s="14"/>
      <c r="G55" s="14"/>
      <c r="H55" s="14"/>
      <c r="I55" s="14"/>
      <c r="J55" s="14"/>
      <c r="K55" s="14"/>
    </row>
    <row r="56" spans="1:11" x14ac:dyDescent="0.2">
      <c r="A56" s="12"/>
      <c r="B56" s="12"/>
      <c r="C56" s="14"/>
      <c r="D56" s="14"/>
      <c r="E56" s="14"/>
      <c r="F56" s="14"/>
      <c r="G56" s="14"/>
      <c r="H56" s="14"/>
      <c r="I56" s="14"/>
      <c r="J56" s="14"/>
      <c r="K56" s="14"/>
    </row>
    <row r="57" spans="1:11" x14ac:dyDescent="0.2">
      <c r="A57" s="12"/>
      <c r="B57" s="12"/>
      <c r="C57" s="14"/>
      <c r="D57" s="14"/>
      <c r="E57" s="14"/>
      <c r="F57" s="14"/>
      <c r="G57" s="14"/>
      <c r="H57" s="14"/>
      <c r="I57" s="14"/>
      <c r="J57" s="14"/>
      <c r="K57" s="14"/>
    </row>
    <row r="58" spans="1:11" x14ac:dyDescent="0.2">
      <c r="A58" s="12"/>
      <c r="B58" s="12"/>
      <c r="C58" s="14"/>
      <c r="D58" s="14"/>
      <c r="E58" s="14"/>
      <c r="F58" s="14"/>
      <c r="G58" s="14"/>
      <c r="H58" s="14"/>
      <c r="I58" s="14"/>
      <c r="J58" s="14"/>
      <c r="K58" s="14"/>
    </row>
    <row r="59" spans="1:11" x14ac:dyDescent="0.2">
      <c r="A59" s="12"/>
      <c r="B59" s="12"/>
      <c r="C59" s="14"/>
      <c r="D59" s="14"/>
      <c r="E59" s="14"/>
      <c r="F59" s="14"/>
      <c r="G59" s="14"/>
      <c r="H59" s="14"/>
      <c r="I59" s="14"/>
      <c r="J59" s="14"/>
      <c r="K59" s="14"/>
    </row>
    <row r="60" spans="1:11" x14ac:dyDescent="0.2">
      <c r="A60" s="12"/>
      <c r="B60" s="12"/>
      <c r="C60" s="14"/>
      <c r="D60" s="14"/>
      <c r="E60" s="14"/>
      <c r="F60" s="14"/>
      <c r="G60" s="14"/>
      <c r="H60" s="14"/>
      <c r="I60" s="14"/>
      <c r="J60" s="14"/>
      <c r="K60" s="14"/>
    </row>
    <row r="61" spans="1:11" x14ac:dyDescent="0.2">
      <c r="A61" s="12"/>
      <c r="B61" s="12"/>
      <c r="C61" s="14"/>
      <c r="D61" s="14"/>
      <c r="E61" s="14"/>
      <c r="F61" s="14"/>
      <c r="G61" s="14"/>
      <c r="H61" s="14"/>
      <c r="I61" s="14"/>
      <c r="J61" s="14"/>
      <c r="K61" s="14"/>
    </row>
    <row r="62" spans="1:11" x14ac:dyDescent="0.2">
      <c r="A62" s="12"/>
      <c r="B62" s="12"/>
      <c r="C62" s="14"/>
      <c r="D62" s="14"/>
      <c r="E62" s="14"/>
      <c r="F62" s="14"/>
      <c r="G62" s="14"/>
      <c r="H62" s="14"/>
      <c r="I62" s="14"/>
      <c r="J62" s="14"/>
      <c r="K62" s="14"/>
    </row>
    <row r="63" spans="1:11" x14ac:dyDescent="0.2">
      <c r="A63" s="12"/>
      <c r="B63" s="12"/>
      <c r="C63" s="14"/>
      <c r="D63" s="14"/>
      <c r="E63" s="14"/>
      <c r="F63" s="14"/>
      <c r="G63" s="14"/>
      <c r="H63" s="14"/>
      <c r="I63" s="14"/>
      <c r="J63" s="14"/>
      <c r="K63" s="14"/>
    </row>
    <row r="64" spans="1:11" x14ac:dyDescent="0.2">
      <c r="A64" s="12"/>
      <c r="B64" s="12"/>
      <c r="C64" s="14"/>
      <c r="D64" s="14"/>
      <c r="E64" s="14"/>
      <c r="F64" s="14"/>
      <c r="G64" s="14"/>
      <c r="H64" s="14"/>
      <c r="I64" s="14"/>
      <c r="J64" s="14"/>
      <c r="K64" s="14"/>
    </row>
    <row r="65" spans="1:11" x14ac:dyDescent="0.2">
      <c r="A65" s="12"/>
      <c r="B65" s="12"/>
      <c r="C65" s="14"/>
      <c r="D65" s="14"/>
      <c r="E65" s="14"/>
      <c r="F65" s="14"/>
      <c r="G65" s="14"/>
      <c r="H65" s="14"/>
      <c r="I65" s="14"/>
      <c r="J65" s="14"/>
      <c r="K65" s="14"/>
    </row>
  </sheetData>
  <mergeCells count="30">
    <mergeCell ref="C1:K2"/>
    <mergeCell ref="C42:G43"/>
    <mergeCell ref="I10:I11"/>
    <mergeCell ref="J10:J11"/>
    <mergeCell ref="C8:G9"/>
    <mergeCell ref="H8:H9"/>
    <mergeCell ref="H10:H11"/>
    <mergeCell ref="J16:J17"/>
    <mergeCell ref="K12:K13"/>
    <mergeCell ref="C19:G20"/>
    <mergeCell ref="K14:K15"/>
    <mergeCell ref="C16:G17"/>
    <mergeCell ref="H16:H17"/>
    <mergeCell ref="I16:I17"/>
    <mergeCell ref="C5:K5"/>
    <mergeCell ref="K16:K17"/>
    <mergeCell ref="C14:G15"/>
    <mergeCell ref="H14:H15"/>
    <mergeCell ref="I14:I15"/>
    <mergeCell ref="J14:J15"/>
    <mergeCell ref="C3:K4"/>
    <mergeCell ref="C12:G13"/>
    <mergeCell ref="H12:H13"/>
    <mergeCell ref="I12:I13"/>
    <mergeCell ref="C10:G11"/>
    <mergeCell ref="I8:I9"/>
    <mergeCell ref="J8:J9"/>
    <mergeCell ref="J12:J13"/>
    <mergeCell ref="K8:K9"/>
    <mergeCell ref="K10:K11"/>
  </mergeCells>
  <phoneticPr fontId="5" type="noConversion"/>
  <conditionalFormatting sqref="K10:K17">
    <cfRule type="cellIs" dxfId="1" priority="2" stopIfTrue="1" operator="equal">
      <formula>"Pass"</formula>
    </cfRule>
    <cfRule type="cellIs" dxfId="0" priority="3" stopIfTrue="1" operator="equal">
      <formula>"Fail"</formula>
    </cfRule>
  </conditionalFormatting>
  <pageMargins left="0.75" right="0.75" top="1" bottom="1" header="0.5" footer="0.5"/>
  <pageSetup scale="59" orientation="landscape" blackAndWhite="1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A2" sqref="A2"/>
    </sheetView>
  </sheetViews>
  <sheetFormatPr defaultRowHeight="15" x14ac:dyDescent="0.2"/>
  <cols>
    <col min="1" max="1" width="16.33203125" bestFit="1" customWidth="1"/>
    <col min="2" max="2" width="20.44140625" bestFit="1" customWidth="1"/>
    <col min="3" max="3" width="67.33203125" bestFit="1" customWidth="1"/>
  </cols>
  <sheetData>
    <row r="1" spans="1:3" ht="18" x14ac:dyDescent="0.25">
      <c r="A1" s="76" t="str">
        <f xml:space="preserve"> IF(Year_Make_Model="","",Year_Make_Model)</f>
        <v/>
      </c>
      <c r="B1" s="22"/>
      <c r="C1" s="23"/>
    </row>
    <row r="2" spans="1:3" ht="15.75" thickBot="1" x14ac:dyDescent="0.25">
      <c r="A2" s="77" t="str">
        <f>IF(TestId="","",TestId)</f>
        <v/>
      </c>
      <c r="B2" s="24"/>
      <c r="C2" s="23"/>
    </row>
    <row r="3" spans="1:3" ht="15.75" thickBot="1" x14ac:dyDescent="0.25">
      <c r="A3" s="25" t="s">
        <v>43</v>
      </c>
      <c r="B3" s="26" t="s">
        <v>44</v>
      </c>
      <c r="C3" s="27" t="s">
        <v>45</v>
      </c>
    </row>
    <row r="4" spans="1:3" x14ac:dyDescent="0.2">
      <c r="A4" s="28"/>
      <c r="B4" s="29"/>
      <c r="C4" s="30"/>
    </row>
    <row r="5" spans="1:3" x14ac:dyDescent="0.2">
      <c r="A5" s="28"/>
      <c r="B5" s="29"/>
      <c r="C5" s="30"/>
    </row>
    <row r="6" spans="1:3" x14ac:dyDescent="0.2">
      <c r="A6" s="28"/>
      <c r="B6" s="29"/>
      <c r="C6" s="30"/>
    </row>
    <row r="7" spans="1:3" x14ac:dyDescent="0.2">
      <c r="A7" s="28"/>
      <c r="B7" s="29"/>
      <c r="C7" s="30"/>
    </row>
    <row r="8" spans="1:3" ht="15.75" thickBot="1" x14ac:dyDescent="0.25">
      <c r="A8" s="31"/>
      <c r="B8" s="32"/>
      <c r="C8" s="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3"/>
  <sheetViews>
    <sheetView workbookViewId="0">
      <selection activeCell="A94" sqref="A94:D117"/>
    </sheetView>
  </sheetViews>
  <sheetFormatPr defaultRowHeight="15" x14ac:dyDescent="0.25"/>
  <cols>
    <col min="1" max="1" width="8.88671875" style="74"/>
    <col min="2" max="2" width="16.77734375" style="74" bestFit="1" customWidth="1"/>
    <col min="3" max="3" width="14.5546875" style="74" bestFit="1" customWidth="1"/>
    <col min="4" max="4" width="15.88671875" style="74" bestFit="1" customWidth="1"/>
    <col min="5" max="16384" width="8.88671875" style="74"/>
  </cols>
  <sheetData>
    <row r="1" spans="1:4" x14ac:dyDescent="0.25">
      <c r="A1" s="73" t="s">
        <v>106</v>
      </c>
      <c r="B1" s="73" t="s">
        <v>107</v>
      </c>
      <c r="C1" s="73" t="s">
        <v>108</v>
      </c>
      <c r="D1" s="73" t="s">
        <v>109</v>
      </c>
    </row>
    <row r="2" spans="1:4" x14ac:dyDescent="0.25">
      <c r="A2" s="74">
        <v>0</v>
      </c>
      <c r="B2" s="74">
        <v>0</v>
      </c>
      <c r="C2" s="74">
        <v>0</v>
      </c>
      <c r="D2" s="74">
        <v>0</v>
      </c>
    </row>
    <row r="3" spans="1:4" x14ac:dyDescent="0.25">
      <c r="A3" s="74">
        <v>1E-3</v>
      </c>
      <c r="B3" s="74">
        <v>1.9771E-2</v>
      </c>
      <c r="C3" s="74">
        <v>9.694363857499999E-5</v>
      </c>
      <c r="D3" s="74">
        <v>3.4899709886999968E-4</v>
      </c>
    </row>
    <row r="4" spans="1:4" x14ac:dyDescent="0.25">
      <c r="A4" s="74">
        <v>2E-3</v>
      </c>
      <c r="B4" s="74">
        <v>0.200515</v>
      </c>
      <c r="C4" s="74">
        <v>1.1770774895249996E-3</v>
      </c>
      <c r="D4" s="74">
        <v>4.2374789622899953E-3</v>
      </c>
    </row>
    <row r="5" spans="1:4" x14ac:dyDescent="0.25">
      <c r="A5" s="74">
        <v>3.0000000000000001E-3</v>
      </c>
      <c r="B5" s="74">
        <v>0.35392600000000002</v>
      </c>
      <c r="C5" s="74">
        <v>3.8956819058499998E-3</v>
      </c>
      <c r="D5" s="74">
        <v>1.4024454861059988E-2</v>
      </c>
    </row>
    <row r="6" spans="1:4" x14ac:dyDescent="0.25">
      <c r="A6" s="74">
        <v>4.0000000000000001E-3</v>
      </c>
      <c r="B6" s="74">
        <v>0.54506500000000002</v>
      </c>
      <c r="C6" s="74">
        <v>8.3037269509249993E-3</v>
      </c>
      <c r="D6" s="74">
        <v>2.9893417023329972E-2</v>
      </c>
    </row>
    <row r="7" spans="1:4" x14ac:dyDescent="0.25">
      <c r="A7" s="74">
        <v>5.0000000000000001E-3</v>
      </c>
      <c r="B7" s="74">
        <v>0.77721799999999996</v>
      </c>
      <c r="C7" s="74">
        <v>1.47873102419E-2</v>
      </c>
      <c r="D7" s="74">
        <v>5.3234316870839953E-2</v>
      </c>
    </row>
    <row r="8" spans="1:4" x14ac:dyDescent="0.25">
      <c r="A8" s="74">
        <v>6.0000000000000001E-3</v>
      </c>
      <c r="B8" s="74">
        <v>1.053183</v>
      </c>
      <c r="C8" s="74">
        <v>2.3762361225225001E-2</v>
      </c>
      <c r="D8" s="74">
        <v>8.5544500410809937E-2</v>
      </c>
    </row>
    <row r="9" spans="1:4" x14ac:dyDescent="0.25">
      <c r="A9" s="74">
        <v>7.0000000000000001E-3</v>
      </c>
      <c r="B9" s="74">
        <v>1.375127</v>
      </c>
      <c r="C9" s="74">
        <v>3.5669154355975001E-2</v>
      </c>
      <c r="D9" s="74">
        <v>0.1284089556815099</v>
      </c>
    </row>
    <row r="10" spans="1:4" x14ac:dyDescent="0.25">
      <c r="A10" s="74">
        <v>8.0000000000000002E-3</v>
      </c>
      <c r="B10" s="74">
        <v>1.7443299999999999</v>
      </c>
      <c r="C10" s="74">
        <v>5.0964865850500002E-2</v>
      </c>
      <c r="D10" s="74">
        <v>0.18347351706179985</v>
      </c>
    </row>
    <row r="11" spans="1:4" x14ac:dyDescent="0.25">
      <c r="A11" s="74">
        <v>9.0000000000000011E-3</v>
      </c>
      <c r="B11" s="74">
        <v>2.1608360000000002</v>
      </c>
      <c r="C11" s="74">
        <v>7.0113163927449984E-2</v>
      </c>
      <c r="D11" s="74">
        <v>0.25240739013881974</v>
      </c>
    </row>
    <row r="12" spans="1:4" x14ac:dyDescent="0.25">
      <c r="A12" s="74">
        <v>1.0000000000000002E-2</v>
      </c>
      <c r="B12" s="74">
        <v>2.6230799999999999</v>
      </c>
      <c r="C12" s="74">
        <v>9.3570258848150012E-2</v>
      </c>
      <c r="D12" s="74">
        <v>0.33685293185333975</v>
      </c>
    </row>
    <row r="13" spans="1:4" x14ac:dyDescent="0.25">
      <c r="A13" s="74">
        <v>1.1000000000000003E-2</v>
      </c>
      <c r="B13" s="74">
        <v>3.1276280000000001</v>
      </c>
      <c r="C13" s="74">
        <v>0.12176784915224999</v>
      </c>
      <c r="D13" s="74">
        <v>0.43836425694809961</v>
      </c>
    </row>
    <row r="14" spans="1:4" x14ac:dyDescent="0.25">
      <c r="A14" s="74">
        <v>1.2000000000000004E-2</v>
      </c>
      <c r="B14" s="74">
        <v>3.6691560000000001</v>
      </c>
      <c r="C14" s="74">
        <v>0.15509469005905002</v>
      </c>
      <c r="D14" s="74">
        <v>0.55834088421257966</v>
      </c>
    </row>
    <row r="15" spans="1:4" x14ac:dyDescent="0.25">
      <c r="A15" s="74">
        <v>1.3000000000000005E-2</v>
      </c>
      <c r="B15" s="74">
        <v>4.2406420000000002</v>
      </c>
      <c r="C15" s="74">
        <v>0.19387900033739999</v>
      </c>
      <c r="D15" s="74">
        <v>0.69796440121463943</v>
      </c>
    </row>
    <row r="16" spans="1:4" x14ac:dyDescent="0.25">
      <c r="A16" s="74">
        <v>1.4000000000000005E-2</v>
      </c>
      <c r="B16" s="74">
        <v>4.833609</v>
      </c>
      <c r="C16" s="74">
        <v>0.23837300212197504</v>
      </c>
      <c r="D16" s="74">
        <v>0.85814280763910944</v>
      </c>
    </row>
    <row r="17" spans="1:4" x14ac:dyDescent="0.25">
      <c r="A17" s="74">
        <v>1.5000000000000006E-2</v>
      </c>
      <c r="B17" s="74">
        <v>5.4384180000000004</v>
      </c>
      <c r="C17" s="74">
        <v>0.28874008891175001</v>
      </c>
      <c r="D17" s="74">
        <v>1.0394643200822993</v>
      </c>
    </row>
    <row r="18" spans="1:4" x14ac:dyDescent="0.25">
      <c r="A18" s="74">
        <v>1.6000000000000007E-2</v>
      </c>
      <c r="B18" s="74">
        <v>6.0446169999999997</v>
      </c>
      <c r="C18" s="74">
        <v>0.34504514150312504</v>
      </c>
      <c r="D18" s="74">
        <v>1.2421625094112492</v>
      </c>
    </row>
    <row r="19" spans="1:4" x14ac:dyDescent="0.25">
      <c r="A19" s="74">
        <v>1.7000000000000008E-2</v>
      </c>
      <c r="B19" s="74">
        <v>6.6414169999999997</v>
      </c>
      <c r="C19" s="74">
        <v>0.40724888916617508</v>
      </c>
      <c r="D19" s="74">
        <v>1.4660960009982291</v>
      </c>
    </row>
    <row r="20" spans="1:4" x14ac:dyDescent="0.25">
      <c r="A20" s="74">
        <v>1.8000000000000009E-2</v>
      </c>
      <c r="B20" s="74">
        <v>7.2181660000000001</v>
      </c>
      <c r="C20" s="74">
        <v>0.47520692897964989</v>
      </c>
      <c r="D20" s="74">
        <v>1.7107449443267382</v>
      </c>
    </row>
    <row r="21" spans="1:4" x14ac:dyDescent="0.25">
      <c r="A21" s="74">
        <v>1.900000000000001E-2</v>
      </c>
      <c r="B21" s="74">
        <v>7.7645559999999998</v>
      </c>
      <c r="C21" s="74">
        <v>0.5486720843302999</v>
      </c>
      <c r="D21" s="74">
        <v>1.9752195035890781</v>
      </c>
    </row>
    <row r="22" spans="1:4" x14ac:dyDescent="0.25">
      <c r="A22" s="74">
        <v>2.0000000000000011E-2</v>
      </c>
      <c r="B22" s="74">
        <v>8.2705669999999998</v>
      </c>
      <c r="C22" s="74">
        <v>0.62729750381427496</v>
      </c>
      <c r="D22" s="74">
        <v>2.2582710137313882</v>
      </c>
    </row>
    <row r="23" spans="1:4" x14ac:dyDescent="0.25">
      <c r="A23" s="74">
        <v>2.1000000000000012E-2</v>
      </c>
      <c r="B23" s="74">
        <v>8.7265060000000005</v>
      </c>
      <c r="C23" s="74">
        <v>0.71063967678200002</v>
      </c>
      <c r="D23" s="74">
        <v>2.5583028364151978</v>
      </c>
    </row>
    <row r="24" spans="1:4" x14ac:dyDescent="0.25">
      <c r="A24" s="74">
        <v>2.2000000000000013E-2</v>
      </c>
      <c r="B24" s="74">
        <v>9.1233880000000003</v>
      </c>
      <c r="C24" s="74">
        <v>0.79816350827954974</v>
      </c>
      <c r="D24" s="74">
        <v>2.8733886298063767</v>
      </c>
    </row>
    <row r="25" spans="1:4" x14ac:dyDescent="0.25">
      <c r="A25" s="74">
        <v>2.3000000000000013E-2</v>
      </c>
      <c r="B25" s="74">
        <v>9.4535619999999998</v>
      </c>
      <c r="C25" s="74">
        <v>0.88925233163829986</v>
      </c>
      <c r="D25" s="74">
        <v>3.201308393897877</v>
      </c>
    </row>
    <row r="26" spans="1:4" x14ac:dyDescent="0.25">
      <c r="A26" s="74">
        <v>2.4000000000000014E-2</v>
      </c>
      <c r="B26" s="74">
        <v>9.7112189999999998</v>
      </c>
      <c r="C26" s="74">
        <v>0.98322348143512495</v>
      </c>
      <c r="D26" s="74">
        <v>3.5396045331664467</v>
      </c>
    </row>
    <row r="27" spans="1:4" x14ac:dyDescent="0.25">
      <c r="A27" s="74">
        <v>2.5000000000000015E-2</v>
      </c>
      <c r="B27" s="74">
        <v>9.8925920000000005</v>
      </c>
      <c r="C27" s="74">
        <v>1.0793473380067</v>
      </c>
      <c r="D27" s="74">
        <v>3.8856504168241166</v>
      </c>
    </row>
    <row r="28" spans="1:4" x14ac:dyDescent="0.25">
      <c r="A28" s="74">
        <v>2.6000000000000016E-2</v>
      </c>
      <c r="B28" s="74">
        <v>9.9960159999999991</v>
      </c>
      <c r="C28" s="74">
        <v>1.1768676468282997</v>
      </c>
      <c r="D28" s="74">
        <v>4.2367235285818756</v>
      </c>
    </row>
    <row r="29" spans="1:4" x14ac:dyDescent="0.25">
      <c r="A29" s="74">
        <v>2.7000000000000017E-2</v>
      </c>
      <c r="B29" s="74">
        <v>10.022164999999999</v>
      </c>
      <c r="C29" s="74">
        <v>1.2750232941801247</v>
      </c>
      <c r="D29" s="74">
        <v>4.5900838590484447</v>
      </c>
    </row>
    <row r="30" spans="1:4" x14ac:dyDescent="0.25">
      <c r="A30" s="74">
        <v>2.8000000000000018E-2</v>
      </c>
      <c r="B30" s="74">
        <v>9.9896209999999996</v>
      </c>
      <c r="C30" s="74">
        <v>1.3731475847685748</v>
      </c>
      <c r="D30" s="74">
        <v>4.9433313051668648</v>
      </c>
    </row>
    <row r="31" spans="1:4" x14ac:dyDescent="0.25">
      <c r="A31" s="74">
        <v>2.9000000000000019E-2</v>
      </c>
      <c r="B31" s="74">
        <v>9.9013810000000007</v>
      </c>
      <c r="C31" s="74">
        <v>1.4706796321502249</v>
      </c>
      <c r="D31" s="74">
        <v>5.2944466757408053</v>
      </c>
    </row>
    <row r="32" spans="1:4" x14ac:dyDescent="0.25">
      <c r="A32" s="74">
        <v>3.000000000000002E-2</v>
      </c>
      <c r="B32" s="74">
        <v>9.7753949999999996</v>
      </c>
      <c r="C32" s="74">
        <v>1.5671612598304248</v>
      </c>
      <c r="D32" s="74">
        <v>5.6417805353895245</v>
      </c>
    </row>
    <row r="33" spans="1:4" x14ac:dyDescent="0.25">
      <c r="A33" s="74">
        <v>3.1000000000000021E-2</v>
      </c>
      <c r="B33" s="74">
        <v>9.6172369999999994</v>
      </c>
      <c r="C33" s="74">
        <v>1.6622496371318247</v>
      </c>
      <c r="D33" s="74">
        <v>5.9840986936745644</v>
      </c>
    </row>
    <row r="34" spans="1:4" x14ac:dyDescent="0.25">
      <c r="A34" s="74">
        <v>3.2000000000000021E-2</v>
      </c>
      <c r="B34" s="74">
        <v>9.4332980000000006</v>
      </c>
      <c r="C34" s="74">
        <v>1.7556606016606997</v>
      </c>
      <c r="D34" s="74">
        <v>6.3203781659785134</v>
      </c>
    </row>
    <row r="35" spans="1:4" x14ac:dyDescent="0.25">
      <c r="A35" s="74">
        <v>3.3000000000000022E-2</v>
      </c>
      <c r="B35" s="74">
        <v>9.2302610000000005</v>
      </c>
      <c r="C35" s="74">
        <v>1.8471740970943749</v>
      </c>
      <c r="D35" s="74">
        <v>6.6498267495397441</v>
      </c>
    </row>
    <row r="36" spans="1:4" x14ac:dyDescent="0.25">
      <c r="A36" s="74">
        <v>3.4000000000000023E-2</v>
      </c>
      <c r="B36" s="74">
        <v>9.0146700000000006</v>
      </c>
      <c r="C36" s="74">
        <v>1.93663492338995</v>
      </c>
      <c r="D36" s="74">
        <v>6.9718857242038146</v>
      </c>
    </row>
    <row r="37" spans="1:4" x14ac:dyDescent="0.25">
      <c r="A37" s="74">
        <v>3.5000000000000024E-2</v>
      </c>
      <c r="B37" s="74">
        <v>8.7925470000000008</v>
      </c>
      <c r="C37" s="74">
        <v>2.023949495686475</v>
      </c>
      <c r="D37" s="74">
        <v>7.2862181844713039</v>
      </c>
    </row>
    <row r="38" spans="1:4" x14ac:dyDescent="0.25">
      <c r="A38" s="74">
        <v>3.6000000000000025E-2</v>
      </c>
      <c r="B38" s="74">
        <v>8.5690530000000003</v>
      </c>
      <c r="C38" s="74">
        <v>2.1090790630064746</v>
      </c>
      <c r="D38" s="74">
        <v>7.5926846268233019</v>
      </c>
    </row>
    <row r="39" spans="1:4" x14ac:dyDescent="0.25">
      <c r="A39" s="74">
        <v>3.7000000000000026E-2</v>
      </c>
      <c r="B39" s="74">
        <v>8.3482210000000006</v>
      </c>
      <c r="C39" s="74">
        <v>2.1920299555425249</v>
      </c>
      <c r="D39" s="74">
        <v>7.8913078399530834</v>
      </c>
    </row>
    <row r="40" spans="1:4" x14ac:dyDescent="0.25">
      <c r="A40" s="74">
        <v>3.8000000000000027E-2</v>
      </c>
      <c r="B40" s="74">
        <v>8.1328669999999992</v>
      </c>
      <c r="C40" s="74">
        <v>2.2728420863601251</v>
      </c>
      <c r="D40" s="74">
        <v>8.1822315108964432</v>
      </c>
    </row>
    <row r="41" spans="1:4" x14ac:dyDescent="0.25">
      <c r="A41" s="74">
        <v>3.9000000000000028E-2</v>
      </c>
      <c r="B41" s="74">
        <v>7.9247310000000004</v>
      </c>
      <c r="C41" s="74">
        <v>2.3515777080734752</v>
      </c>
      <c r="D41" s="74">
        <v>8.4656797490645044</v>
      </c>
    </row>
    <row r="42" spans="1:4" x14ac:dyDescent="0.25">
      <c r="A42" s="74">
        <v>4.0000000000000029E-2</v>
      </c>
      <c r="B42" s="74">
        <v>7.7247110000000001</v>
      </c>
      <c r="C42" s="74">
        <v>2.4283120082681253</v>
      </c>
      <c r="D42" s="74">
        <v>8.7419232297652432</v>
      </c>
    </row>
    <row r="43" spans="1:4" x14ac:dyDescent="0.25">
      <c r="A43" s="74">
        <v>4.1000000000000029E-2</v>
      </c>
      <c r="B43" s="74">
        <v>7.533067</v>
      </c>
      <c r="C43" s="74">
        <v>2.5031258525799753</v>
      </c>
      <c r="D43" s="74">
        <v>9.0112530692879034</v>
      </c>
    </row>
    <row r="44" spans="1:4" x14ac:dyDescent="0.25">
      <c r="A44" s="74">
        <v>4.200000000000003E-2</v>
      </c>
      <c r="B44" s="74">
        <v>7.3495910000000002</v>
      </c>
      <c r="C44" s="74">
        <v>2.5761003616178253</v>
      </c>
      <c r="D44" s="74">
        <v>9.2739613018241638</v>
      </c>
    </row>
    <row r="45" spans="1:4" x14ac:dyDescent="0.25">
      <c r="A45" s="74">
        <v>4.3000000000000031E-2</v>
      </c>
      <c r="B45" s="74">
        <v>7.1737489999999999</v>
      </c>
      <c r="C45" s="74">
        <v>2.6473130177233251</v>
      </c>
      <c r="D45" s="74">
        <v>9.5303268638039622</v>
      </c>
    </row>
    <row r="46" spans="1:4" x14ac:dyDescent="0.25">
      <c r="A46" s="74">
        <v>4.4000000000000032E-2</v>
      </c>
      <c r="B46" s="74">
        <v>7.0047959999999998</v>
      </c>
      <c r="C46" s="74">
        <v>2.7168350318854499</v>
      </c>
      <c r="D46" s="74">
        <v>9.7806061147876111</v>
      </c>
    </row>
    <row r="47" spans="1:4" x14ac:dyDescent="0.25">
      <c r="A47" s="74">
        <v>4.5000000000000033E-2</v>
      </c>
      <c r="B47" s="74">
        <v>6.8418739999999998</v>
      </c>
      <c r="C47" s="74">
        <v>2.7847297550632</v>
      </c>
      <c r="D47" s="74">
        <v>10.025027118227511</v>
      </c>
    </row>
    <row r="48" spans="1:4" x14ac:dyDescent="0.25">
      <c r="A48" s="74">
        <v>4.6000000000000034E-2</v>
      </c>
      <c r="B48" s="74">
        <v>6.6840840000000004</v>
      </c>
      <c r="C48" s="74">
        <v>2.85105192307355</v>
      </c>
      <c r="D48" s="74">
        <v>10.263786923064771</v>
      </c>
    </row>
    <row r="49" spans="1:4" x14ac:dyDescent="0.25">
      <c r="A49" s="74">
        <v>4.7000000000000035E-2</v>
      </c>
      <c r="B49" s="74">
        <v>6.5305390000000001</v>
      </c>
      <c r="C49" s="74">
        <v>2.9158475143950251</v>
      </c>
      <c r="D49" s="74">
        <v>10.497051051822082</v>
      </c>
    </row>
    <row r="50" spans="1:4" x14ac:dyDescent="0.25">
      <c r="A50" s="74">
        <v>4.8000000000000036E-2</v>
      </c>
      <c r="B50" s="74">
        <v>6.3804030000000003</v>
      </c>
      <c r="C50" s="74">
        <v>2.979154059077175</v>
      </c>
      <c r="D50" s="74">
        <v>10.724954612677822</v>
      </c>
    </row>
    <row r="51" spans="1:4" x14ac:dyDescent="0.25">
      <c r="A51" s="74">
        <v>4.9000000000000037E-2</v>
      </c>
      <c r="B51" s="74">
        <v>6.2329179999999997</v>
      </c>
      <c r="C51" s="74">
        <v>3.0410012712695003</v>
      </c>
      <c r="D51" s="74">
        <v>10.947604576570193</v>
      </c>
    </row>
    <row r="52" spans="1:4" x14ac:dyDescent="0.25">
      <c r="A52" s="74">
        <v>5.0000000000000037E-2</v>
      </c>
      <c r="B52" s="74">
        <v>6.0874160000000002</v>
      </c>
      <c r="C52" s="74">
        <v>3.1014118729800502</v>
      </c>
      <c r="D52" s="74">
        <v>11.16508274272817</v>
      </c>
    </row>
    <row r="53" spans="1:4" x14ac:dyDescent="0.25">
      <c r="A53" s="74">
        <v>5.1000000000000038E-2</v>
      </c>
      <c r="B53" s="74">
        <v>5.9433290000000003</v>
      </c>
      <c r="C53" s="74">
        <v>3.1604025257071746</v>
      </c>
      <c r="D53" s="74">
        <v>11.377449092545818</v>
      </c>
    </row>
    <row r="54" spans="1:4" x14ac:dyDescent="0.25">
      <c r="A54" s="74">
        <v>5.2000000000000039E-2</v>
      </c>
      <c r="B54" s="74">
        <v>5.8001820000000004</v>
      </c>
      <c r="C54" s="74">
        <v>3.2179847767812495</v>
      </c>
      <c r="D54" s="74">
        <v>11.584745196412488</v>
      </c>
    </row>
    <row r="55" spans="1:4" x14ac:dyDescent="0.25">
      <c r="A55" s="74">
        <v>5.300000000000004E-2</v>
      </c>
      <c r="B55" s="74">
        <v>5.6575959999999998</v>
      </c>
      <c r="C55" s="74">
        <v>3.2741659860930996</v>
      </c>
      <c r="D55" s="74">
        <v>11.786997549935149</v>
      </c>
    </row>
    <row r="56" spans="1:4" x14ac:dyDescent="0.25">
      <c r="A56" s="74">
        <v>5.4000000000000041E-2</v>
      </c>
      <c r="B56" s="74">
        <v>5.5152770000000002</v>
      </c>
      <c r="C56" s="74">
        <v>3.3289502135958249</v>
      </c>
      <c r="D56" s="74">
        <v>11.98422076894496</v>
      </c>
    </row>
    <row r="57" spans="1:4" x14ac:dyDescent="0.25">
      <c r="A57" s="74">
        <v>5.5000000000000042E-2</v>
      </c>
      <c r="B57" s="74">
        <v>5.3730039999999999</v>
      </c>
      <c r="C57" s="74">
        <v>3.38233899403015</v>
      </c>
      <c r="D57" s="74">
        <v>12.17642037850853</v>
      </c>
    </row>
    <row r="58" spans="1:4" x14ac:dyDescent="0.25">
      <c r="A58" s="74">
        <v>5.6000000000000043E-2</v>
      </c>
      <c r="B58" s="74">
        <v>5.2306220000000003</v>
      </c>
      <c r="C58" s="74">
        <v>3.4343320184866002</v>
      </c>
      <c r="D58" s="74">
        <v>12.36359526655175</v>
      </c>
    </row>
    <row r="59" spans="1:4" x14ac:dyDescent="0.25">
      <c r="A59" s="74">
        <v>5.7000000000000044E-2</v>
      </c>
      <c r="B59" s="74">
        <v>5.088031</v>
      </c>
      <c r="C59" s="74">
        <v>3.4849277277078254</v>
      </c>
      <c r="D59" s="74">
        <v>12.54573981974816</v>
      </c>
    </row>
    <row r="60" spans="1:4" x14ac:dyDescent="0.25">
      <c r="A60" s="74">
        <v>5.8000000000000045E-2</v>
      </c>
      <c r="B60" s="74">
        <v>4.9451710000000002</v>
      </c>
      <c r="C60" s="74">
        <v>3.5341237779044756</v>
      </c>
      <c r="D60" s="74">
        <v>12.722845600456102</v>
      </c>
    </row>
    <row r="61" spans="1:4" x14ac:dyDescent="0.25">
      <c r="A61" s="74">
        <v>5.9000000000000045E-2</v>
      </c>
      <c r="B61" s="74">
        <v>4.8020199999999997</v>
      </c>
      <c r="C61" s="74">
        <v>3.5819174232145503</v>
      </c>
      <c r="D61" s="74">
        <v>12.89490272357237</v>
      </c>
    </row>
    <row r="62" spans="1:4" x14ac:dyDescent="0.25">
      <c r="A62" s="74">
        <v>6.0000000000000046E-2</v>
      </c>
      <c r="B62" s="74">
        <v>4.6585770000000002</v>
      </c>
      <c r="C62" s="74">
        <v>3.6283058049995756</v>
      </c>
      <c r="D62" s="74">
        <v>13.061900897998461</v>
      </c>
    </row>
    <row r="63" spans="1:4" x14ac:dyDescent="0.25">
      <c r="A63" s="74">
        <v>6.1000000000000047E-2</v>
      </c>
      <c r="B63" s="74">
        <v>4.5148570000000001</v>
      </c>
      <c r="C63" s="74">
        <v>3.6732861332676254</v>
      </c>
      <c r="D63" s="74">
        <v>13.22383007976344</v>
      </c>
    </row>
    <row r="64" spans="1:4" x14ac:dyDescent="0.25">
      <c r="A64" s="74">
        <v>6.2000000000000048E-2</v>
      </c>
      <c r="B64" s="74">
        <v>4.3708850000000004</v>
      </c>
      <c r="C64" s="74">
        <v>3.7168558141597754</v>
      </c>
      <c r="D64" s="74">
        <v>13.38068093097518</v>
      </c>
    </row>
    <row r="65" spans="1:4" x14ac:dyDescent="0.25">
      <c r="A65" s="74">
        <v>6.3000000000000042E-2</v>
      </c>
      <c r="B65" s="74">
        <v>4.2266870000000001</v>
      </c>
      <c r="C65" s="74">
        <v>3.7590125038866753</v>
      </c>
      <c r="D65" s="74">
        <v>13.532445013992019</v>
      </c>
    </row>
    <row r="66" spans="1:4" x14ac:dyDescent="0.25">
      <c r="A66" s="74">
        <v>6.4000000000000043E-2</v>
      </c>
      <c r="B66" s="74">
        <v>4.0822859999999999</v>
      </c>
      <c r="C66" s="74">
        <v>3.7997540989219005</v>
      </c>
      <c r="D66" s="74">
        <v>13.67911475611883</v>
      </c>
    </row>
    <row r="67" spans="1:4" x14ac:dyDescent="0.25">
      <c r="A67" s="74">
        <v>6.5000000000000044E-2</v>
      </c>
      <c r="B67" s="74">
        <v>3.9376929999999999</v>
      </c>
      <c r="C67" s="74">
        <v>3.8390786624520756</v>
      </c>
      <c r="D67" s="74">
        <v>13.820683184827461</v>
      </c>
    </row>
    <row r="68" spans="1:4" x14ac:dyDescent="0.25">
      <c r="A68" s="74">
        <v>6.6000000000000045E-2</v>
      </c>
      <c r="B68" s="74">
        <v>3.79291</v>
      </c>
      <c r="C68" s="74">
        <v>3.8769843214070505</v>
      </c>
      <c r="D68" s="74">
        <v>13.95714355706537</v>
      </c>
    </row>
    <row r="69" spans="1:4" x14ac:dyDescent="0.25">
      <c r="A69" s="74">
        <v>6.7000000000000046E-2</v>
      </c>
      <c r="B69" s="74">
        <v>3.6479180000000002</v>
      </c>
      <c r="C69" s="74">
        <v>3.9134691193601507</v>
      </c>
      <c r="D69" s="74">
        <v>14.08848882969653</v>
      </c>
    </row>
    <row r="70" spans="1:4" x14ac:dyDescent="0.25">
      <c r="A70" s="74">
        <v>6.8000000000000047E-2</v>
      </c>
      <c r="B70" s="74">
        <v>3.5026790000000001</v>
      </c>
      <c r="C70" s="74">
        <v>3.9485308203951757</v>
      </c>
      <c r="D70" s="74">
        <v>14.214710953422621</v>
      </c>
    </row>
    <row r="71" spans="1:4" x14ac:dyDescent="0.25">
      <c r="A71" s="74">
        <v>6.9000000000000047E-2</v>
      </c>
      <c r="B71" s="74">
        <v>3.3571330000000001</v>
      </c>
      <c r="C71" s="74">
        <v>3.9821667080700758</v>
      </c>
      <c r="D71" s="74">
        <v>14.335800149052261</v>
      </c>
    </row>
    <row r="72" spans="1:4" x14ac:dyDescent="0.25">
      <c r="A72" s="74">
        <v>7.0000000000000048E-2</v>
      </c>
      <c r="B72" s="74">
        <v>3.211192</v>
      </c>
      <c r="C72" s="74">
        <v>4.0143733402507005</v>
      </c>
      <c r="D72" s="74">
        <v>14.45174402490251</v>
      </c>
    </row>
    <row r="73" spans="1:4" x14ac:dyDescent="0.25">
      <c r="A73" s="74">
        <v>7.1000000000000049E-2</v>
      </c>
      <c r="B73" s="74">
        <v>3.0647449999999998</v>
      </c>
      <c r="C73" s="74">
        <v>4.0451462990412255</v>
      </c>
      <c r="D73" s="74">
        <v>14.5625266765484</v>
      </c>
    </row>
    <row r="74" spans="1:4" x14ac:dyDescent="0.25">
      <c r="A74" s="74">
        <v>7.200000000000005E-2</v>
      </c>
      <c r="B74" s="74">
        <v>2.917656</v>
      </c>
      <c r="C74" s="74">
        <v>4.0744799554245503</v>
      </c>
      <c r="D74" s="74">
        <v>14.668127839528369</v>
      </c>
    </row>
    <row r="75" spans="1:4" x14ac:dyDescent="0.25">
      <c r="A75" s="74">
        <v>7.3000000000000051E-2</v>
      </c>
      <c r="B75" s="74">
        <v>2.769765</v>
      </c>
      <c r="C75" s="74">
        <v>4.1023672289993751</v>
      </c>
      <c r="D75" s="74">
        <v>14.768522024397738</v>
      </c>
    </row>
    <row r="76" spans="1:4" x14ac:dyDescent="0.25">
      <c r="A76" s="74">
        <v>7.4000000000000052E-2</v>
      </c>
      <c r="B76" s="74">
        <v>2.6208930000000001</v>
      </c>
      <c r="C76" s="74">
        <v>4.1287993771372253</v>
      </c>
      <c r="D76" s="74">
        <v>14.863677757693999</v>
      </c>
    </row>
    <row r="77" spans="1:4" x14ac:dyDescent="0.25">
      <c r="A77" s="74">
        <v>7.5000000000000053E-2</v>
      </c>
      <c r="B77" s="74">
        <v>2.47085</v>
      </c>
      <c r="C77" s="74">
        <v>4.1537658478827</v>
      </c>
      <c r="D77" s="74">
        <v>14.953557052377707</v>
      </c>
    </row>
    <row r="78" spans="1:4" x14ac:dyDescent="0.25">
      <c r="A78" s="74">
        <v>7.6000000000000054E-2</v>
      </c>
      <c r="B78" s="74">
        <v>2.3194439999999998</v>
      </c>
      <c r="C78" s="74">
        <v>4.1772542162102502</v>
      </c>
      <c r="D78" s="74">
        <v>15.038115178356888</v>
      </c>
    </row>
    <row r="79" spans="1:4" x14ac:dyDescent="0.25">
      <c r="A79" s="74">
        <v>7.7000000000000055E-2</v>
      </c>
      <c r="B79" s="74">
        <v>2.1664910000000002</v>
      </c>
      <c r="C79" s="74">
        <v>4.1992502134441247</v>
      </c>
      <c r="D79" s="74">
        <v>15.117300768398836</v>
      </c>
    </row>
    <row r="80" spans="1:4" x14ac:dyDescent="0.25">
      <c r="A80" s="74">
        <v>7.8000000000000055E-2</v>
      </c>
      <c r="B80" s="74">
        <v>2.0118390000000002</v>
      </c>
      <c r="C80" s="74">
        <v>4.2197379233913743</v>
      </c>
      <c r="D80" s="74">
        <v>15.191056524208935</v>
      </c>
    </row>
    <row r="81" spans="1:4" x14ac:dyDescent="0.25">
      <c r="A81" s="74">
        <v>7.9000000000000056E-2</v>
      </c>
      <c r="B81" s="74">
        <v>1.855386</v>
      </c>
      <c r="C81" s="74">
        <v>4.2387001844144994</v>
      </c>
      <c r="D81" s="74">
        <v>15.259320663892185</v>
      </c>
    </row>
    <row r="82" spans="1:4" x14ac:dyDescent="0.25">
      <c r="A82" s="74">
        <v>8.0000000000000057E-2</v>
      </c>
      <c r="B82" s="74">
        <v>1.6971069999999999</v>
      </c>
      <c r="C82" s="74">
        <v>4.2561192121537248</v>
      </c>
      <c r="D82" s="74">
        <v>15.322029163753397</v>
      </c>
    </row>
    <row r="83" spans="1:4" x14ac:dyDescent="0.25">
      <c r="A83" s="74">
        <v>8.1000000000000058E-2</v>
      </c>
      <c r="B83" s="74">
        <v>1.5370900000000001</v>
      </c>
      <c r="C83" s="74">
        <v>4.2719775311587496</v>
      </c>
      <c r="D83" s="74">
        <v>15.379119112171486</v>
      </c>
    </row>
    <row r="84" spans="1:4" x14ac:dyDescent="0.25">
      <c r="A84" s="74">
        <v>8.2000000000000059E-2</v>
      </c>
      <c r="B84" s="74">
        <v>1.3755729999999999</v>
      </c>
      <c r="C84" s="74">
        <v>4.2862592644632249</v>
      </c>
      <c r="D84" s="74">
        <v>15.430533352067597</v>
      </c>
    </row>
    <row r="85" spans="1:4" x14ac:dyDescent="0.25">
      <c r="A85" s="74">
        <v>8.300000000000006E-2</v>
      </c>
      <c r="B85" s="74">
        <v>1.212988</v>
      </c>
      <c r="C85" s="74">
        <v>4.2989518203285497</v>
      </c>
      <c r="D85" s="74">
        <v>15.476226553182766</v>
      </c>
    </row>
    <row r="86" spans="1:4" x14ac:dyDescent="0.25">
      <c r="A86" s="74">
        <v>8.4000000000000061E-2</v>
      </c>
      <c r="B86" s="74">
        <v>1.050006</v>
      </c>
      <c r="C86" s="74">
        <v>4.3100480153835994</v>
      </c>
      <c r="D86" s="74">
        <v>15.516172855380944</v>
      </c>
    </row>
    <row r="87" spans="1:4" x14ac:dyDescent="0.25">
      <c r="A87" s="74">
        <v>8.5000000000000062E-2</v>
      </c>
      <c r="B87" s="74">
        <v>0.88759399999999999</v>
      </c>
      <c r="C87" s="74">
        <v>4.3195486979035991</v>
      </c>
      <c r="D87" s="74">
        <v>15.550375312452944</v>
      </c>
    </row>
    <row r="88" spans="1:4" x14ac:dyDescent="0.25">
      <c r="A88" s="74">
        <v>8.6000000000000063E-2</v>
      </c>
      <c r="B88" s="74">
        <v>0.72706199999999999</v>
      </c>
      <c r="C88" s="74">
        <v>4.327465881034799</v>
      </c>
      <c r="D88" s="74">
        <v>15.578877171725264</v>
      </c>
    </row>
    <row r="89" spans="1:4" x14ac:dyDescent="0.25">
      <c r="A89" s="74">
        <v>8.7000000000000063E-2</v>
      </c>
      <c r="B89" s="74">
        <v>0.57011199999999995</v>
      </c>
      <c r="C89" s="74">
        <v>4.3338263467383493</v>
      </c>
      <c r="D89" s="74">
        <v>15.601774848258044</v>
      </c>
    </row>
    <row r="90" spans="1:4" x14ac:dyDescent="0.25">
      <c r="A90" s="74">
        <v>8.8000000000000064E-2</v>
      </c>
      <c r="B90" s="74">
        <v>0.41888700000000001</v>
      </c>
      <c r="C90" s="74">
        <v>4.3386757302600243</v>
      </c>
      <c r="D90" s="74">
        <v>15.619232628936075</v>
      </c>
    </row>
    <row r="91" spans="1:4" x14ac:dyDescent="0.25">
      <c r="A91" s="74">
        <v>8.9000000000000065E-2</v>
      </c>
      <c r="B91" s="74">
        <v>0.27599499999999999</v>
      </c>
      <c r="C91" s="74">
        <v>4.3420829625426745</v>
      </c>
      <c r="D91" s="74">
        <v>15.631498665153615</v>
      </c>
    </row>
    <row r="92" spans="1:4" x14ac:dyDescent="0.25">
      <c r="A92" s="74">
        <v>9.0000000000000066E-2</v>
      </c>
      <c r="B92" s="74">
        <v>0.14452400000000001</v>
      </c>
      <c r="C92" s="74">
        <v>4.3441449038683491</v>
      </c>
      <c r="D92" s="74">
        <v>15.638921653926044</v>
      </c>
    </row>
    <row r="93" spans="1:4" x14ac:dyDescent="0.25">
      <c r="A93" s="74">
        <v>9.1000000000000067E-2</v>
      </c>
      <c r="B93" s="74">
        <v>2.7914000000000001E-2</v>
      </c>
      <c r="C93" s="74">
        <v>4.344990423424699</v>
      </c>
      <c r="D93" s="74">
        <v>15.641965524328903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72"/>
  <sheetViews>
    <sheetView workbookViewId="0"/>
  </sheetViews>
  <sheetFormatPr defaultRowHeight="15" x14ac:dyDescent="0.25"/>
  <cols>
    <col min="1" max="1" width="8.88671875" style="74"/>
    <col min="2" max="2" width="16.77734375" style="74" bestFit="1" customWidth="1"/>
    <col min="3" max="3" width="17.109375" style="74" bestFit="1" customWidth="1"/>
    <col min="4" max="16384" width="8.88671875" style="74"/>
  </cols>
  <sheetData>
    <row r="1" spans="1:3" x14ac:dyDescent="0.25">
      <c r="A1" s="73" t="s">
        <v>111</v>
      </c>
      <c r="B1" s="73" t="s">
        <v>112</v>
      </c>
      <c r="C1" s="73" t="s">
        <v>113</v>
      </c>
    </row>
    <row r="2" spans="1:3" x14ac:dyDescent="0.25">
      <c r="A2" s="74">
        <v>0</v>
      </c>
      <c r="B2" s="74">
        <v>150</v>
      </c>
      <c r="C2" s="74">
        <v>260</v>
      </c>
    </row>
    <row r="3" spans="1:3" x14ac:dyDescent="0.25">
      <c r="A3" s="74">
        <v>1</v>
      </c>
      <c r="B3" s="74">
        <v>150</v>
      </c>
      <c r="C3" s="74">
        <v>260</v>
      </c>
    </row>
    <row r="4" spans="1:3" x14ac:dyDescent="0.25">
      <c r="A4" s="74">
        <v>2</v>
      </c>
      <c r="B4" s="74">
        <v>150</v>
      </c>
      <c r="C4" s="74">
        <v>260</v>
      </c>
    </row>
    <row r="5" spans="1:3" x14ac:dyDescent="0.25">
      <c r="A5" s="74">
        <v>3</v>
      </c>
      <c r="B5" s="74">
        <v>150</v>
      </c>
      <c r="C5" s="74">
        <v>260</v>
      </c>
    </row>
    <row r="6" spans="1:3" x14ac:dyDescent="0.25">
      <c r="A6" s="74">
        <v>4</v>
      </c>
      <c r="B6" s="74">
        <v>150</v>
      </c>
      <c r="C6" s="74">
        <v>260</v>
      </c>
    </row>
    <row r="7" spans="1:3" x14ac:dyDescent="0.25">
      <c r="A7" s="74">
        <v>5</v>
      </c>
      <c r="B7" s="74">
        <v>150</v>
      </c>
      <c r="C7" s="74">
        <v>260</v>
      </c>
    </row>
    <row r="8" spans="1:3" x14ac:dyDescent="0.25">
      <c r="A8" s="74">
        <v>6</v>
      </c>
      <c r="B8" s="74">
        <v>150</v>
      </c>
      <c r="C8" s="74">
        <v>260</v>
      </c>
    </row>
    <row r="9" spans="1:3" x14ac:dyDescent="0.25">
      <c r="A9" s="74">
        <v>7</v>
      </c>
      <c r="B9" s="74">
        <v>150</v>
      </c>
      <c r="C9" s="74">
        <v>260</v>
      </c>
    </row>
    <row r="10" spans="1:3" x14ac:dyDescent="0.25">
      <c r="A10" s="74">
        <v>8</v>
      </c>
      <c r="B10" s="74">
        <v>150</v>
      </c>
      <c r="C10" s="74">
        <v>260</v>
      </c>
    </row>
    <row r="11" spans="1:3" x14ac:dyDescent="0.25">
      <c r="A11" s="74">
        <v>9</v>
      </c>
      <c r="B11" s="74">
        <v>150</v>
      </c>
      <c r="C11" s="74">
        <v>260</v>
      </c>
    </row>
    <row r="12" spans="1:3" x14ac:dyDescent="0.25">
      <c r="A12" s="74">
        <v>10</v>
      </c>
      <c r="B12" s="74">
        <v>150</v>
      </c>
      <c r="C12" s="74">
        <v>260</v>
      </c>
    </row>
    <row r="13" spans="1:3" x14ac:dyDescent="0.25">
      <c r="A13" s="74">
        <v>11</v>
      </c>
      <c r="B13" s="74">
        <v>150</v>
      </c>
      <c r="C13" s="74">
        <v>260</v>
      </c>
    </row>
    <row r="14" spans="1:3" x14ac:dyDescent="0.25">
      <c r="A14" s="74">
        <v>12</v>
      </c>
      <c r="B14" s="74">
        <v>150</v>
      </c>
      <c r="C14" s="74">
        <v>260</v>
      </c>
    </row>
    <row r="15" spans="1:3" x14ac:dyDescent="0.25">
      <c r="A15" s="74">
        <v>13</v>
      </c>
      <c r="B15" s="74">
        <v>150</v>
      </c>
      <c r="C15" s="74">
        <v>260</v>
      </c>
    </row>
    <row r="16" spans="1:3" x14ac:dyDescent="0.25">
      <c r="A16" s="74">
        <v>14</v>
      </c>
      <c r="B16" s="74">
        <v>150</v>
      </c>
      <c r="C16" s="74">
        <v>260</v>
      </c>
    </row>
    <row r="17" spans="1:3" x14ac:dyDescent="0.25">
      <c r="A17" s="74">
        <v>15</v>
      </c>
      <c r="B17" s="74">
        <v>150</v>
      </c>
      <c r="C17" s="74">
        <v>260</v>
      </c>
    </row>
    <row r="18" spans="1:3" x14ac:dyDescent="0.25">
      <c r="A18" s="74">
        <v>16</v>
      </c>
      <c r="B18" s="74">
        <v>150</v>
      </c>
      <c r="C18" s="74">
        <v>260</v>
      </c>
    </row>
    <row r="19" spans="1:3" x14ac:dyDescent="0.25">
      <c r="A19" s="74">
        <v>17</v>
      </c>
      <c r="B19" s="74">
        <v>150</v>
      </c>
      <c r="C19" s="74">
        <v>260</v>
      </c>
    </row>
    <row r="20" spans="1:3" x14ac:dyDescent="0.25">
      <c r="A20" s="74">
        <v>18</v>
      </c>
      <c r="B20" s="74">
        <v>150</v>
      </c>
      <c r="C20" s="74">
        <v>260</v>
      </c>
    </row>
    <row r="21" spans="1:3" x14ac:dyDescent="0.25">
      <c r="A21" s="74">
        <v>19</v>
      </c>
      <c r="B21" s="74">
        <v>150</v>
      </c>
      <c r="C21" s="74">
        <v>260</v>
      </c>
    </row>
    <row r="22" spans="1:3" x14ac:dyDescent="0.25">
      <c r="A22" s="74">
        <v>20</v>
      </c>
      <c r="B22" s="74">
        <v>150</v>
      </c>
      <c r="C22" s="74">
        <v>260</v>
      </c>
    </row>
    <row r="23" spans="1:3" x14ac:dyDescent="0.25">
      <c r="A23" s="74">
        <v>21</v>
      </c>
      <c r="B23" s="74">
        <v>150</v>
      </c>
      <c r="C23" s="74">
        <v>260</v>
      </c>
    </row>
    <row r="24" spans="1:3" x14ac:dyDescent="0.25">
      <c r="A24" s="74">
        <v>22</v>
      </c>
      <c r="B24" s="74">
        <v>150</v>
      </c>
      <c r="C24" s="74">
        <v>260</v>
      </c>
    </row>
    <row r="25" spans="1:3" x14ac:dyDescent="0.25">
      <c r="A25" s="74">
        <v>23</v>
      </c>
      <c r="B25" s="74">
        <v>150</v>
      </c>
      <c r="C25" s="74">
        <v>260</v>
      </c>
    </row>
    <row r="26" spans="1:3" x14ac:dyDescent="0.25">
      <c r="A26" s="74">
        <v>24</v>
      </c>
      <c r="B26" s="74">
        <v>150</v>
      </c>
      <c r="C26" s="74">
        <v>260</v>
      </c>
    </row>
    <row r="27" spans="1:3" x14ac:dyDescent="0.25">
      <c r="A27" s="74">
        <v>25</v>
      </c>
      <c r="B27" s="74">
        <v>150</v>
      </c>
      <c r="C27" s="74">
        <v>260</v>
      </c>
    </row>
    <row r="28" spans="1:3" x14ac:dyDescent="0.25">
      <c r="A28" s="74">
        <v>26</v>
      </c>
      <c r="B28" s="74">
        <v>150</v>
      </c>
      <c r="C28" s="74">
        <v>260</v>
      </c>
    </row>
    <row r="29" spans="1:3" x14ac:dyDescent="0.25">
      <c r="A29" s="74">
        <v>27</v>
      </c>
      <c r="B29" s="74">
        <v>150</v>
      </c>
      <c r="C29" s="74">
        <v>260</v>
      </c>
    </row>
    <row r="30" spans="1:3" x14ac:dyDescent="0.25">
      <c r="A30" s="74">
        <v>28</v>
      </c>
      <c r="B30" s="74">
        <v>150</v>
      </c>
      <c r="C30" s="74">
        <v>260</v>
      </c>
    </row>
    <row r="31" spans="1:3" x14ac:dyDescent="0.25">
      <c r="A31" s="74">
        <v>29</v>
      </c>
      <c r="B31" s="74">
        <v>150</v>
      </c>
      <c r="C31" s="74">
        <v>260</v>
      </c>
    </row>
    <row r="32" spans="1:3" x14ac:dyDescent="0.25">
      <c r="A32" s="74">
        <v>30</v>
      </c>
      <c r="B32" s="74">
        <v>150</v>
      </c>
      <c r="C32" s="74">
        <v>260</v>
      </c>
    </row>
    <row r="33" spans="1:3" x14ac:dyDescent="0.25">
      <c r="A33" s="74">
        <v>31</v>
      </c>
      <c r="B33" s="74">
        <v>150</v>
      </c>
      <c r="C33" s="74">
        <v>260</v>
      </c>
    </row>
    <row r="34" spans="1:3" x14ac:dyDescent="0.25">
      <c r="A34" s="74">
        <v>32</v>
      </c>
      <c r="B34" s="74">
        <v>150</v>
      </c>
      <c r="C34" s="74">
        <v>260</v>
      </c>
    </row>
    <row r="35" spans="1:3" x14ac:dyDescent="0.25">
      <c r="A35" s="74">
        <v>33</v>
      </c>
      <c r="B35" s="74">
        <v>150</v>
      </c>
      <c r="C35" s="74">
        <v>260</v>
      </c>
    </row>
    <row r="36" spans="1:3" x14ac:dyDescent="0.25">
      <c r="A36" s="74">
        <v>34</v>
      </c>
      <c r="B36" s="74">
        <v>150</v>
      </c>
      <c r="C36" s="74">
        <v>260</v>
      </c>
    </row>
    <row r="37" spans="1:3" x14ac:dyDescent="0.25">
      <c r="A37" s="74">
        <v>35</v>
      </c>
      <c r="B37" s="74">
        <v>150</v>
      </c>
      <c r="C37" s="74">
        <v>260</v>
      </c>
    </row>
    <row r="38" spans="1:3" x14ac:dyDescent="0.25">
      <c r="A38" s="74">
        <v>36</v>
      </c>
      <c r="B38" s="74">
        <v>150</v>
      </c>
      <c r="C38" s="74">
        <v>260</v>
      </c>
    </row>
    <row r="39" spans="1:3" x14ac:dyDescent="0.25">
      <c r="A39" s="74">
        <v>37</v>
      </c>
      <c r="B39" s="74">
        <v>150</v>
      </c>
      <c r="C39" s="74">
        <v>260</v>
      </c>
    </row>
    <row r="40" spans="1:3" x14ac:dyDescent="0.25">
      <c r="A40" s="74">
        <v>38</v>
      </c>
      <c r="B40" s="74">
        <v>150</v>
      </c>
      <c r="C40" s="74">
        <v>260</v>
      </c>
    </row>
    <row r="41" spans="1:3" x14ac:dyDescent="0.25">
      <c r="A41" s="74">
        <v>39</v>
      </c>
      <c r="B41" s="74">
        <v>150</v>
      </c>
      <c r="C41" s="74">
        <v>260</v>
      </c>
    </row>
    <row r="42" spans="1:3" x14ac:dyDescent="0.25">
      <c r="A42" s="74">
        <v>40</v>
      </c>
      <c r="B42" s="74">
        <v>150</v>
      </c>
      <c r="C42" s="74">
        <v>260</v>
      </c>
    </row>
    <row r="43" spans="1:3" x14ac:dyDescent="0.25">
      <c r="A43" s="74">
        <v>41</v>
      </c>
      <c r="B43" s="74">
        <v>150</v>
      </c>
      <c r="C43" s="74">
        <v>260</v>
      </c>
    </row>
    <row r="44" spans="1:3" x14ac:dyDescent="0.25">
      <c r="A44" s="74">
        <v>42</v>
      </c>
      <c r="B44" s="74">
        <v>150</v>
      </c>
      <c r="C44" s="74">
        <v>260</v>
      </c>
    </row>
    <row r="45" spans="1:3" x14ac:dyDescent="0.25">
      <c r="A45" s="74">
        <v>43</v>
      </c>
      <c r="B45" s="74">
        <v>150</v>
      </c>
      <c r="C45" s="74">
        <v>260</v>
      </c>
    </row>
    <row r="46" spans="1:3" x14ac:dyDescent="0.25">
      <c r="A46" s="74">
        <v>44</v>
      </c>
      <c r="B46" s="74">
        <v>150</v>
      </c>
      <c r="C46" s="74">
        <v>260</v>
      </c>
    </row>
    <row r="47" spans="1:3" x14ac:dyDescent="0.25">
      <c r="A47" s="74">
        <v>45</v>
      </c>
      <c r="B47" s="74">
        <v>150</v>
      </c>
      <c r="C47" s="74">
        <v>260</v>
      </c>
    </row>
    <row r="48" spans="1:3" x14ac:dyDescent="0.25">
      <c r="A48" s="74">
        <v>46</v>
      </c>
      <c r="B48" s="74">
        <v>150</v>
      </c>
      <c r="C48" s="74">
        <v>260</v>
      </c>
    </row>
    <row r="49" spans="1:3" x14ac:dyDescent="0.25">
      <c r="A49" s="74">
        <v>47</v>
      </c>
      <c r="B49" s="74">
        <v>150</v>
      </c>
      <c r="C49" s="74">
        <v>260</v>
      </c>
    </row>
    <row r="50" spans="1:3" x14ac:dyDescent="0.25">
      <c r="A50" s="74">
        <v>48</v>
      </c>
      <c r="B50" s="74">
        <v>150</v>
      </c>
      <c r="C50" s="74">
        <v>260</v>
      </c>
    </row>
    <row r="51" spans="1:3" x14ac:dyDescent="0.25">
      <c r="A51" s="74">
        <v>49</v>
      </c>
      <c r="B51" s="74">
        <v>150</v>
      </c>
      <c r="C51" s="74">
        <v>260</v>
      </c>
    </row>
    <row r="52" spans="1:3" x14ac:dyDescent="0.25">
      <c r="A52" s="74">
        <v>50</v>
      </c>
      <c r="B52" s="74">
        <v>150</v>
      </c>
      <c r="C52" s="74">
        <v>260</v>
      </c>
    </row>
    <row r="53" spans="1:3" x14ac:dyDescent="0.25">
      <c r="A53" s="74">
        <v>51</v>
      </c>
      <c r="B53" s="74">
        <v>150</v>
      </c>
      <c r="C53" s="74">
        <v>260</v>
      </c>
    </row>
    <row r="54" spans="1:3" x14ac:dyDescent="0.25">
      <c r="A54" s="74">
        <v>52</v>
      </c>
      <c r="B54" s="74">
        <v>150</v>
      </c>
      <c r="C54" s="74">
        <v>260</v>
      </c>
    </row>
    <row r="55" spans="1:3" x14ac:dyDescent="0.25">
      <c r="A55" s="74">
        <v>53</v>
      </c>
      <c r="B55" s="74">
        <v>150</v>
      </c>
      <c r="C55" s="74">
        <v>260</v>
      </c>
    </row>
    <row r="56" spans="1:3" x14ac:dyDescent="0.25">
      <c r="A56" s="74">
        <v>54</v>
      </c>
      <c r="B56" s="74">
        <v>150</v>
      </c>
      <c r="C56" s="74">
        <v>260</v>
      </c>
    </row>
    <row r="57" spans="1:3" x14ac:dyDescent="0.25">
      <c r="A57" s="74">
        <v>55</v>
      </c>
      <c r="B57" s="74">
        <v>150</v>
      </c>
      <c r="C57" s="74">
        <v>260</v>
      </c>
    </row>
    <row r="58" spans="1:3" x14ac:dyDescent="0.25">
      <c r="A58" s="74">
        <v>56</v>
      </c>
      <c r="B58" s="74">
        <v>150</v>
      </c>
      <c r="C58" s="74">
        <v>260</v>
      </c>
    </row>
    <row r="59" spans="1:3" x14ac:dyDescent="0.25">
      <c r="A59" s="74">
        <v>57</v>
      </c>
      <c r="B59" s="74">
        <v>150</v>
      </c>
      <c r="C59" s="74">
        <v>260</v>
      </c>
    </row>
    <row r="60" spans="1:3" x14ac:dyDescent="0.25">
      <c r="A60" s="74">
        <v>58</v>
      </c>
      <c r="B60" s="74">
        <v>150</v>
      </c>
      <c r="C60" s="74">
        <v>260</v>
      </c>
    </row>
    <row r="61" spans="1:3" x14ac:dyDescent="0.25">
      <c r="A61" s="74">
        <v>59</v>
      </c>
      <c r="B61" s="74">
        <v>150</v>
      </c>
      <c r="C61" s="74">
        <v>260</v>
      </c>
    </row>
    <row r="62" spans="1:3" x14ac:dyDescent="0.25">
      <c r="A62" s="74">
        <v>60</v>
      </c>
      <c r="B62" s="74">
        <v>150</v>
      </c>
      <c r="C62" s="74">
        <v>260</v>
      </c>
    </row>
    <row r="63" spans="1:3" x14ac:dyDescent="0.25">
      <c r="A63" s="74">
        <v>61</v>
      </c>
      <c r="B63" s="74">
        <v>150</v>
      </c>
      <c r="C63" s="74">
        <v>260</v>
      </c>
    </row>
    <row r="64" spans="1:3" x14ac:dyDescent="0.25">
      <c r="A64" s="74">
        <v>62</v>
      </c>
      <c r="B64" s="74">
        <v>150</v>
      </c>
      <c r="C64" s="74">
        <v>260</v>
      </c>
    </row>
    <row r="65" spans="1:3" x14ac:dyDescent="0.25">
      <c r="A65" s="74">
        <v>63</v>
      </c>
      <c r="B65" s="74">
        <v>150</v>
      </c>
      <c r="C65" s="74">
        <v>260</v>
      </c>
    </row>
    <row r="66" spans="1:3" x14ac:dyDescent="0.25">
      <c r="A66" s="74">
        <v>64</v>
      </c>
      <c r="B66" s="74">
        <v>150</v>
      </c>
      <c r="C66" s="74">
        <v>260</v>
      </c>
    </row>
    <row r="67" spans="1:3" x14ac:dyDescent="0.25">
      <c r="A67" s="74">
        <v>65</v>
      </c>
      <c r="B67" s="74">
        <v>150</v>
      </c>
      <c r="C67" s="74">
        <v>260</v>
      </c>
    </row>
    <row r="68" spans="1:3" x14ac:dyDescent="0.25">
      <c r="A68" s="74">
        <v>66</v>
      </c>
      <c r="B68" s="74">
        <v>150</v>
      </c>
      <c r="C68" s="74">
        <v>260</v>
      </c>
    </row>
    <row r="69" spans="1:3" x14ac:dyDescent="0.25">
      <c r="A69" s="74">
        <v>67</v>
      </c>
      <c r="B69" s="74">
        <v>150</v>
      </c>
      <c r="C69" s="74">
        <v>260</v>
      </c>
    </row>
    <row r="70" spans="1:3" x14ac:dyDescent="0.25">
      <c r="A70" s="74">
        <v>68</v>
      </c>
      <c r="B70" s="74">
        <v>150</v>
      </c>
      <c r="C70" s="74">
        <v>260</v>
      </c>
    </row>
    <row r="71" spans="1:3" x14ac:dyDescent="0.25">
      <c r="A71" s="74">
        <v>69</v>
      </c>
      <c r="B71" s="74">
        <v>150</v>
      </c>
      <c r="C71" s="74">
        <v>260</v>
      </c>
    </row>
    <row r="72" spans="1:3" x14ac:dyDescent="0.25">
      <c r="A72" s="74">
        <v>70</v>
      </c>
      <c r="B72" s="74">
        <v>150</v>
      </c>
      <c r="C72" s="74">
        <v>260</v>
      </c>
    </row>
    <row r="73" spans="1:3" x14ac:dyDescent="0.25">
      <c r="A73" s="74">
        <v>71</v>
      </c>
      <c r="B73" s="74">
        <v>150</v>
      </c>
      <c r="C73" s="74">
        <v>260</v>
      </c>
    </row>
    <row r="74" spans="1:3" x14ac:dyDescent="0.25">
      <c r="A74" s="74">
        <v>72</v>
      </c>
      <c r="B74" s="74">
        <v>150</v>
      </c>
      <c r="C74" s="74">
        <v>260</v>
      </c>
    </row>
    <row r="75" spans="1:3" x14ac:dyDescent="0.25">
      <c r="A75" s="74">
        <v>73</v>
      </c>
      <c r="B75" s="74">
        <v>150</v>
      </c>
      <c r="C75" s="74">
        <v>260</v>
      </c>
    </row>
    <row r="76" spans="1:3" x14ac:dyDescent="0.25">
      <c r="A76" s="74">
        <v>74</v>
      </c>
      <c r="B76" s="74">
        <v>150</v>
      </c>
      <c r="C76" s="74">
        <v>260</v>
      </c>
    </row>
    <row r="77" spans="1:3" x14ac:dyDescent="0.25">
      <c r="A77" s="74">
        <v>75</v>
      </c>
      <c r="B77" s="74">
        <v>150</v>
      </c>
      <c r="C77" s="74">
        <v>260</v>
      </c>
    </row>
    <row r="78" spans="1:3" x14ac:dyDescent="0.25">
      <c r="A78" s="74">
        <v>76</v>
      </c>
      <c r="B78" s="74">
        <v>150</v>
      </c>
      <c r="C78" s="74">
        <v>260</v>
      </c>
    </row>
    <row r="79" spans="1:3" x14ac:dyDescent="0.25">
      <c r="A79" s="74">
        <v>77</v>
      </c>
      <c r="B79" s="74">
        <v>150</v>
      </c>
      <c r="C79" s="74">
        <v>260</v>
      </c>
    </row>
    <row r="80" spans="1:3" x14ac:dyDescent="0.25">
      <c r="A80" s="74">
        <v>78</v>
      </c>
      <c r="B80" s="74">
        <v>150</v>
      </c>
      <c r="C80" s="74">
        <v>260</v>
      </c>
    </row>
    <row r="81" spans="1:3" x14ac:dyDescent="0.25">
      <c r="A81" s="74">
        <v>79</v>
      </c>
      <c r="B81" s="74">
        <v>150</v>
      </c>
      <c r="C81" s="74">
        <v>260</v>
      </c>
    </row>
    <row r="82" spans="1:3" x14ac:dyDescent="0.25">
      <c r="A82" s="74">
        <v>80</v>
      </c>
      <c r="B82" s="74">
        <v>150</v>
      </c>
      <c r="C82" s="74">
        <v>260</v>
      </c>
    </row>
    <row r="83" spans="1:3" x14ac:dyDescent="0.25">
      <c r="A83" s="74">
        <v>81</v>
      </c>
      <c r="B83" s="74">
        <v>150</v>
      </c>
      <c r="C83" s="74">
        <v>260</v>
      </c>
    </row>
    <row r="84" spans="1:3" x14ac:dyDescent="0.25">
      <c r="A84" s="74">
        <v>82</v>
      </c>
      <c r="B84" s="74">
        <v>150</v>
      </c>
      <c r="C84" s="74">
        <v>260</v>
      </c>
    </row>
    <row r="85" spans="1:3" x14ac:dyDescent="0.25">
      <c r="A85" s="74">
        <v>83</v>
      </c>
      <c r="B85" s="74">
        <v>150</v>
      </c>
      <c r="C85" s="74">
        <v>260</v>
      </c>
    </row>
    <row r="86" spans="1:3" x14ac:dyDescent="0.25">
      <c r="A86" s="74">
        <v>84</v>
      </c>
      <c r="B86" s="74">
        <v>150</v>
      </c>
      <c r="C86" s="74">
        <v>260</v>
      </c>
    </row>
    <row r="87" spans="1:3" x14ac:dyDescent="0.25">
      <c r="A87" s="74">
        <v>85</v>
      </c>
      <c r="B87" s="74">
        <v>150</v>
      </c>
      <c r="C87" s="74">
        <v>260</v>
      </c>
    </row>
    <row r="88" spans="1:3" x14ac:dyDescent="0.25">
      <c r="A88" s="74">
        <v>86</v>
      </c>
      <c r="B88" s="74">
        <v>150</v>
      </c>
      <c r="C88" s="74">
        <v>260</v>
      </c>
    </row>
    <row r="89" spans="1:3" x14ac:dyDescent="0.25">
      <c r="A89" s="74">
        <v>87</v>
      </c>
      <c r="B89" s="74">
        <v>150</v>
      </c>
      <c r="C89" s="74">
        <v>260</v>
      </c>
    </row>
    <row r="90" spans="1:3" x14ac:dyDescent="0.25">
      <c r="A90" s="74">
        <v>88</v>
      </c>
      <c r="B90" s="74">
        <v>150</v>
      </c>
      <c r="C90" s="74">
        <v>260</v>
      </c>
    </row>
    <row r="91" spans="1:3" x14ac:dyDescent="0.25">
      <c r="A91" s="74">
        <v>89</v>
      </c>
      <c r="B91" s="74">
        <v>150</v>
      </c>
      <c r="C91" s="74">
        <v>260</v>
      </c>
    </row>
    <row r="92" spans="1:3" x14ac:dyDescent="0.25">
      <c r="A92" s="74">
        <v>90</v>
      </c>
      <c r="B92" s="74">
        <v>150</v>
      </c>
      <c r="C92" s="74">
        <v>260</v>
      </c>
    </row>
    <row r="93" spans="1:3" x14ac:dyDescent="0.25">
      <c r="A93" s="74">
        <v>91</v>
      </c>
      <c r="B93" s="74">
        <v>150</v>
      </c>
      <c r="C93" s="74">
        <v>260</v>
      </c>
    </row>
    <row r="94" spans="1:3" x14ac:dyDescent="0.25">
      <c r="A94" s="74">
        <v>92</v>
      </c>
      <c r="B94" s="74">
        <v>150</v>
      </c>
      <c r="C94" s="74">
        <v>260</v>
      </c>
    </row>
    <row r="95" spans="1:3" x14ac:dyDescent="0.25">
      <c r="A95" s="74">
        <v>93</v>
      </c>
      <c r="B95" s="74">
        <v>150</v>
      </c>
      <c r="C95" s="74">
        <v>260</v>
      </c>
    </row>
    <row r="96" spans="1:3" x14ac:dyDescent="0.25">
      <c r="A96" s="74">
        <v>94</v>
      </c>
      <c r="B96" s="74">
        <v>150</v>
      </c>
      <c r="C96" s="74">
        <v>260</v>
      </c>
    </row>
    <row r="97" spans="1:3" x14ac:dyDescent="0.25">
      <c r="A97" s="74">
        <v>95</v>
      </c>
      <c r="B97" s="74">
        <v>150</v>
      </c>
      <c r="C97" s="74">
        <v>260</v>
      </c>
    </row>
    <row r="98" spans="1:3" x14ac:dyDescent="0.25">
      <c r="A98" s="74">
        <v>96</v>
      </c>
      <c r="B98" s="74">
        <v>150</v>
      </c>
      <c r="C98" s="74">
        <v>260</v>
      </c>
    </row>
    <row r="99" spans="1:3" x14ac:dyDescent="0.25">
      <c r="A99" s="74">
        <v>97</v>
      </c>
      <c r="B99" s="74">
        <v>150</v>
      </c>
      <c r="C99" s="74">
        <v>260</v>
      </c>
    </row>
    <row r="100" spans="1:3" x14ac:dyDescent="0.25">
      <c r="A100" s="74">
        <v>98</v>
      </c>
      <c r="B100" s="74">
        <v>150</v>
      </c>
      <c r="C100" s="74">
        <v>260</v>
      </c>
    </row>
    <row r="101" spans="1:3" x14ac:dyDescent="0.25">
      <c r="A101" s="74">
        <v>99</v>
      </c>
      <c r="B101" s="74">
        <v>150</v>
      </c>
      <c r="C101" s="74">
        <v>260</v>
      </c>
    </row>
    <row r="102" spans="1:3" x14ac:dyDescent="0.25">
      <c r="A102" s="74">
        <v>100</v>
      </c>
      <c r="B102" s="74">
        <v>150</v>
      </c>
      <c r="C102" s="74">
        <v>260</v>
      </c>
    </row>
    <row r="103" spans="1:3" x14ac:dyDescent="0.25">
      <c r="A103" s="74">
        <v>101</v>
      </c>
      <c r="B103" s="74">
        <v>150</v>
      </c>
      <c r="C103" s="74">
        <v>260</v>
      </c>
    </row>
    <row r="104" spans="1:3" x14ac:dyDescent="0.25">
      <c r="A104" s="74">
        <v>102</v>
      </c>
      <c r="B104" s="74">
        <v>150</v>
      </c>
      <c r="C104" s="74">
        <v>260</v>
      </c>
    </row>
    <row r="105" spans="1:3" x14ac:dyDescent="0.25">
      <c r="A105" s="74">
        <v>103</v>
      </c>
      <c r="B105" s="74">
        <v>150</v>
      </c>
      <c r="C105" s="74">
        <v>260</v>
      </c>
    </row>
    <row r="106" spans="1:3" x14ac:dyDescent="0.25">
      <c r="A106" s="74">
        <v>104</v>
      </c>
      <c r="B106" s="74">
        <v>150</v>
      </c>
      <c r="C106" s="74">
        <v>260</v>
      </c>
    </row>
    <row r="107" spans="1:3" x14ac:dyDescent="0.25">
      <c r="A107" s="74">
        <v>105</v>
      </c>
      <c r="B107" s="74">
        <v>150</v>
      </c>
      <c r="C107" s="74">
        <v>260</v>
      </c>
    </row>
    <row r="108" spans="1:3" x14ac:dyDescent="0.25">
      <c r="A108" s="74">
        <v>106</v>
      </c>
      <c r="B108" s="74">
        <v>150</v>
      </c>
      <c r="C108" s="74">
        <v>260</v>
      </c>
    </row>
    <row r="109" spans="1:3" x14ac:dyDescent="0.25">
      <c r="A109" s="74">
        <v>107</v>
      </c>
      <c r="B109" s="74">
        <v>150</v>
      </c>
      <c r="C109" s="74">
        <v>260</v>
      </c>
    </row>
    <row r="110" spans="1:3" x14ac:dyDescent="0.25">
      <c r="A110" s="74">
        <v>108</v>
      </c>
      <c r="B110" s="74">
        <v>150</v>
      </c>
      <c r="C110" s="74">
        <v>260</v>
      </c>
    </row>
    <row r="111" spans="1:3" x14ac:dyDescent="0.25">
      <c r="A111" s="74">
        <v>109</v>
      </c>
      <c r="B111" s="74">
        <v>150</v>
      </c>
      <c r="C111" s="74">
        <v>260</v>
      </c>
    </row>
    <row r="112" spans="1:3" x14ac:dyDescent="0.25">
      <c r="A112" s="74">
        <v>110</v>
      </c>
      <c r="B112" s="74">
        <v>150</v>
      </c>
      <c r="C112" s="74">
        <v>260</v>
      </c>
    </row>
    <row r="113" spans="1:3" x14ac:dyDescent="0.25">
      <c r="A113" s="74">
        <v>111</v>
      </c>
      <c r="B113" s="74">
        <v>150</v>
      </c>
      <c r="C113" s="74">
        <v>260</v>
      </c>
    </row>
    <row r="114" spans="1:3" x14ac:dyDescent="0.25">
      <c r="A114" s="74">
        <v>112</v>
      </c>
      <c r="B114" s="74">
        <v>150</v>
      </c>
      <c r="C114" s="74">
        <v>260</v>
      </c>
    </row>
    <row r="115" spans="1:3" x14ac:dyDescent="0.25">
      <c r="A115" s="74">
        <v>113</v>
      </c>
      <c r="B115" s="74">
        <v>150</v>
      </c>
      <c r="C115" s="74">
        <v>260</v>
      </c>
    </row>
    <row r="116" spans="1:3" x14ac:dyDescent="0.25">
      <c r="A116" s="74">
        <v>114</v>
      </c>
      <c r="B116" s="74">
        <v>150</v>
      </c>
      <c r="C116" s="74">
        <v>260</v>
      </c>
    </row>
    <row r="117" spans="1:3" x14ac:dyDescent="0.25">
      <c r="A117" s="74">
        <v>115</v>
      </c>
      <c r="B117" s="74">
        <v>150</v>
      </c>
      <c r="C117" s="74">
        <v>260</v>
      </c>
    </row>
    <row r="118" spans="1:3" x14ac:dyDescent="0.25">
      <c r="A118" s="74">
        <v>116</v>
      </c>
      <c r="B118" s="74">
        <v>150</v>
      </c>
      <c r="C118" s="74">
        <v>260</v>
      </c>
    </row>
    <row r="119" spans="1:3" x14ac:dyDescent="0.25">
      <c r="A119" s="74">
        <v>117</v>
      </c>
      <c r="B119" s="74">
        <v>150</v>
      </c>
      <c r="C119" s="74">
        <v>260</v>
      </c>
    </row>
    <row r="120" spans="1:3" x14ac:dyDescent="0.25">
      <c r="A120" s="74">
        <v>118</v>
      </c>
      <c r="B120" s="74">
        <v>150</v>
      </c>
      <c r="C120" s="74">
        <v>260</v>
      </c>
    </row>
    <row r="121" spans="1:3" x14ac:dyDescent="0.25">
      <c r="A121" s="74">
        <v>119</v>
      </c>
      <c r="B121" s="74">
        <v>150</v>
      </c>
      <c r="C121" s="74">
        <v>260</v>
      </c>
    </row>
    <row r="122" spans="1:3" x14ac:dyDescent="0.25">
      <c r="A122" s="74">
        <v>120</v>
      </c>
      <c r="B122" s="74">
        <v>150</v>
      </c>
      <c r="C122" s="74">
        <v>260</v>
      </c>
    </row>
    <row r="123" spans="1:3" x14ac:dyDescent="0.25">
      <c r="A123" s="74">
        <v>121</v>
      </c>
      <c r="B123" s="74">
        <v>150</v>
      </c>
      <c r="C123" s="74">
        <v>260</v>
      </c>
    </row>
    <row r="124" spans="1:3" x14ac:dyDescent="0.25">
      <c r="A124" s="74">
        <v>122</v>
      </c>
      <c r="B124" s="74">
        <v>150</v>
      </c>
      <c r="C124" s="74">
        <v>260</v>
      </c>
    </row>
    <row r="125" spans="1:3" x14ac:dyDescent="0.25">
      <c r="A125" s="74">
        <v>123</v>
      </c>
      <c r="B125" s="74">
        <v>150</v>
      </c>
      <c r="C125" s="74">
        <v>260</v>
      </c>
    </row>
    <row r="126" spans="1:3" x14ac:dyDescent="0.25">
      <c r="A126" s="74">
        <v>124</v>
      </c>
      <c r="B126" s="74">
        <v>150</v>
      </c>
      <c r="C126" s="74">
        <v>260</v>
      </c>
    </row>
    <row r="127" spans="1:3" x14ac:dyDescent="0.25">
      <c r="A127" s="74">
        <v>125</v>
      </c>
      <c r="B127" s="74">
        <v>150</v>
      </c>
      <c r="C127" s="74">
        <v>260</v>
      </c>
    </row>
    <row r="128" spans="1:3" x14ac:dyDescent="0.25">
      <c r="A128" s="74">
        <v>126</v>
      </c>
      <c r="B128" s="74">
        <v>150</v>
      </c>
      <c r="C128" s="74">
        <v>260</v>
      </c>
    </row>
    <row r="129" spans="1:3" x14ac:dyDescent="0.25">
      <c r="A129" s="74">
        <v>127</v>
      </c>
      <c r="B129" s="74">
        <v>150</v>
      </c>
      <c r="C129" s="74">
        <v>260</v>
      </c>
    </row>
    <row r="130" spans="1:3" x14ac:dyDescent="0.25">
      <c r="A130" s="74">
        <v>128</v>
      </c>
      <c r="B130" s="74">
        <v>150</v>
      </c>
      <c r="C130" s="74">
        <v>260</v>
      </c>
    </row>
    <row r="131" spans="1:3" x14ac:dyDescent="0.25">
      <c r="A131" s="74">
        <v>129</v>
      </c>
      <c r="B131" s="74">
        <v>150</v>
      </c>
      <c r="C131" s="74">
        <v>260</v>
      </c>
    </row>
    <row r="132" spans="1:3" x14ac:dyDescent="0.25">
      <c r="A132" s="74">
        <v>130</v>
      </c>
      <c r="B132" s="74">
        <v>150</v>
      </c>
      <c r="C132" s="74">
        <v>260</v>
      </c>
    </row>
    <row r="133" spans="1:3" x14ac:dyDescent="0.25">
      <c r="A133" s="74">
        <v>131</v>
      </c>
      <c r="B133" s="74">
        <v>150</v>
      </c>
      <c r="C133" s="74">
        <v>260</v>
      </c>
    </row>
    <row r="134" spans="1:3" x14ac:dyDescent="0.25">
      <c r="A134" s="74">
        <v>132</v>
      </c>
      <c r="B134" s="74">
        <v>150</v>
      </c>
      <c r="C134" s="74">
        <v>260</v>
      </c>
    </row>
    <row r="135" spans="1:3" x14ac:dyDescent="0.25">
      <c r="A135" s="74">
        <v>133</v>
      </c>
      <c r="B135" s="74">
        <v>150</v>
      </c>
      <c r="C135" s="74">
        <v>260</v>
      </c>
    </row>
    <row r="136" spans="1:3" x14ac:dyDescent="0.25">
      <c r="A136" s="74">
        <v>134</v>
      </c>
      <c r="B136" s="74">
        <v>150</v>
      </c>
      <c r="C136" s="74">
        <v>260</v>
      </c>
    </row>
    <row r="137" spans="1:3" x14ac:dyDescent="0.25">
      <c r="A137" s="74">
        <v>135</v>
      </c>
      <c r="B137" s="74">
        <v>150</v>
      </c>
      <c r="C137" s="74">
        <v>260</v>
      </c>
    </row>
    <row r="138" spans="1:3" x14ac:dyDescent="0.25">
      <c r="A138" s="74">
        <v>136</v>
      </c>
      <c r="B138" s="74">
        <v>150</v>
      </c>
      <c r="C138" s="74">
        <v>260</v>
      </c>
    </row>
    <row r="139" spans="1:3" x14ac:dyDescent="0.25">
      <c r="A139" s="74">
        <v>137</v>
      </c>
      <c r="B139" s="74">
        <v>150</v>
      </c>
      <c r="C139" s="74">
        <v>260</v>
      </c>
    </row>
    <row r="140" spans="1:3" x14ac:dyDescent="0.25">
      <c r="A140" s="74">
        <v>138</v>
      </c>
      <c r="B140" s="74">
        <v>150</v>
      </c>
      <c r="C140" s="74">
        <v>260</v>
      </c>
    </row>
    <row r="141" spans="1:3" x14ac:dyDescent="0.25">
      <c r="A141" s="74">
        <v>139</v>
      </c>
      <c r="B141" s="74">
        <v>150</v>
      </c>
      <c r="C141" s="74">
        <v>260</v>
      </c>
    </row>
    <row r="142" spans="1:3" x14ac:dyDescent="0.25">
      <c r="A142" s="74">
        <v>140</v>
      </c>
      <c r="B142" s="74">
        <v>150</v>
      </c>
      <c r="C142" s="74">
        <v>260</v>
      </c>
    </row>
    <row r="143" spans="1:3" x14ac:dyDescent="0.25">
      <c r="A143" s="74">
        <v>141</v>
      </c>
      <c r="B143" s="74">
        <v>150</v>
      </c>
      <c r="C143" s="74">
        <v>260</v>
      </c>
    </row>
    <row r="144" spans="1:3" x14ac:dyDescent="0.25">
      <c r="A144" s="74">
        <v>142</v>
      </c>
      <c r="B144" s="74">
        <v>150</v>
      </c>
      <c r="C144" s="74">
        <v>260</v>
      </c>
    </row>
    <row r="145" spans="1:3" x14ac:dyDescent="0.25">
      <c r="A145" s="74">
        <v>143</v>
      </c>
      <c r="B145" s="74">
        <v>150</v>
      </c>
      <c r="C145" s="74">
        <v>260</v>
      </c>
    </row>
    <row r="146" spans="1:3" x14ac:dyDescent="0.25">
      <c r="A146" s="74">
        <v>144</v>
      </c>
      <c r="B146" s="74">
        <v>150</v>
      </c>
      <c r="C146" s="74">
        <v>260</v>
      </c>
    </row>
    <row r="147" spans="1:3" x14ac:dyDescent="0.25">
      <c r="A147" s="74">
        <v>145</v>
      </c>
      <c r="B147" s="74">
        <v>150</v>
      </c>
      <c r="C147" s="74">
        <v>260</v>
      </c>
    </row>
    <row r="148" spans="1:3" x14ac:dyDescent="0.25">
      <c r="A148" s="74">
        <v>146</v>
      </c>
      <c r="B148" s="74">
        <v>150</v>
      </c>
      <c r="C148" s="74">
        <v>260</v>
      </c>
    </row>
    <row r="149" spans="1:3" x14ac:dyDescent="0.25">
      <c r="A149" s="74">
        <v>147</v>
      </c>
      <c r="B149" s="74">
        <v>150</v>
      </c>
      <c r="C149" s="74">
        <v>260</v>
      </c>
    </row>
    <row r="150" spans="1:3" x14ac:dyDescent="0.25">
      <c r="A150" s="74">
        <v>148</v>
      </c>
      <c r="B150" s="74">
        <v>150</v>
      </c>
      <c r="C150" s="74">
        <v>260</v>
      </c>
    </row>
    <row r="151" spans="1:3" x14ac:dyDescent="0.25">
      <c r="A151" s="74">
        <v>149</v>
      </c>
      <c r="B151" s="74">
        <v>150</v>
      </c>
      <c r="C151" s="74">
        <v>260</v>
      </c>
    </row>
    <row r="152" spans="1:3" x14ac:dyDescent="0.25">
      <c r="A152" s="74">
        <v>150</v>
      </c>
      <c r="B152" s="74">
        <v>150</v>
      </c>
      <c r="C152" s="74">
        <v>260</v>
      </c>
    </row>
    <row r="153" spans="1:3" x14ac:dyDescent="0.25">
      <c r="A153" s="74">
        <v>151</v>
      </c>
      <c r="B153" s="74">
        <v>150</v>
      </c>
      <c r="C153" s="74">
        <v>260</v>
      </c>
    </row>
    <row r="154" spans="1:3" x14ac:dyDescent="0.25">
      <c r="A154" s="74">
        <v>152</v>
      </c>
      <c r="B154" s="74">
        <v>150</v>
      </c>
      <c r="C154" s="74">
        <v>260</v>
      </c>
    </row>
    <row r="155" spans="1:3" x14ac:dyDescent="0.25">
      <c r="A155" s="74">
        <v>153</v>
      </c>
      <c r="B155" s="74">
        <v>150</v>
      </c>
      <c r="C155" s="74">
        <v>260</v>
      </c>
    </row>
    <row r="156" spans="1:3" x14ac:dyDescent="0.25">
      <c r="A156" s="74">
        <v>154</v>
      </c>
      <c r="B156" s="74">
        <v>150</v>
      </c>
      <c r="C156" s="74">
        <v>260</v>
      </c>
    </row>
    <row r="157" spans="1:3" x14ac:dyDescent="0.25">
      <c r="A157" s="74">
        <v>155</v>
      </c>
      <c r="B157" s="74">
        <v>150</v>
      </c>
      <c r="C157" s="74">
        <v>260</v>
      </c>
    </row>
    <row r="158" spans="1:3" x14ac:dyDescent="0.25">
      <c r="A158" s="74">
        <v>156</v>
      </c>
      <c r="B158" s="74">
        <v>150</v>
      </c>
      <c r="C158" s="74">
        <v>260</v>
      </c>
    </row>
    <row r="159" spans="1:3" x14ac:dyDescent="0.25">
      <c r="A159" s="74">
        <v>157</v>
      </c>
      <c r="B159" s="74">
        <v>150</v>
      </c>
      <c r="C159" s="74">
        <v>260</v>
      </c>
    </row>
    <row r="160" spans="1:3" x14ac:dyDescent="0.25">
      <c r="A160" s="74">
        <v>158</v>
      </c>
      <c r="B160" s="74">
        <v>150</v>
      </c>
      <c r="C160" s="74">
        <v>260</v>
      </c>
    </row>
    <row r="161" spans="1:3" x14ac:dyDescent="0.25">
      <c r="A161" s="74">
        <v>159</v>
      </c>
      <c r="B161" s="74">
        <v>150</v>
      </c>
      <c r="C161" s="74">
        <v>260</v>
      </c>
    </row>
    <row r="162" spans="1:3" x14ac:dyDescent="0.25">
      <c r="A162" s="74">
        <v>160</v>
      </c>
      <c r="B162" s="74">
        <v>150</v>
      </c>
      <c r="C162" s="74">
        <v>260</v>
      </c>
    </row>
    <row r="163" spans="1:3" x14ac:dyDescent="0.25">
      <c r="A163" s="74">
        <v>161</v>
      </c>
      <c r="B163" s="74">
        <v>150</v>
      </c>
      <c r="C163" s="74">
        <v>260</v>
      </c>
    </row>
    <row r="164" spans="1:3" x14ac:dyDescent="0.25">
      <c r="A164" s="74">
        <v>162</v>
      </c>
      <c r="B164" s="74">
        <v>150</v>
      </c>
      <c r="C164" s="74">
        <v>260</v>
      </c>
    </row>
    <row r="165" spans="1:3" x14ac:dyDescent="0.25">
      <c r="A165" s="74">
        <v>163</v>
      </c>
      <c r="B165" s="74">
        <v>150</v>
      </c>
      <c r="C165" s="74">
        <v>260</v>
      </c>
    </row>
    <row r="166" spans="1:3" x14ac:dyDescent="0.25">
      <c r="A166" s="74">
        <v>164</v>
      </c>
      <c r="B166" s="74">
        <v>150</v>
      </c>
      <c r="C166" s="74">
        <v>260</v>
      </c>
    </row>
    <row r="167" spans="1:3" x14ac:dyDescent="0.25">
      <c r="A167" s="74">
        <v>165</v>
      </c>
      <c r="B167" s="74">
        <v>150</v>
      </c>
      <c r="C167" s="74">
        <v>260</v>
      </c>
    </row>
    <row r="168" spans="1:3" x14ac:dyDescent="0.25">
      <c r="A168" s="74">
        <v>166</v>
      </c>
      <c r="B168" s="74">
        <v>150</v>
      </c>
      <c r="C168" s="74">
        <v>260</v>
      </c>
    </row>
    <row r="169" spans="1:3" x14ac:dyDescent="0.25">
      <c r="A169" s="74">
        <v>167</v>
      </c>
      <c r="B169" s="74">
        <v>150</v>
      </c>
      <c r="C169" s="74">
        <v>260</v>
      </c>
    </row>
    <row r="170" spans="1:3" x14ac:dyDescent="0.25">
      <c r="A170" s="74">
        <v>168</v>
      </c>
      <c r="B170" s="74">
        <v>150</v>
      </c>
      <c r="C170" s="74">
        <v>260</v>
      </c>
    </row>
    <row r="171" spans="1:3" x14ac:dyDescent="0.25">
      <c r="A171" s="74">
        <v>169</v>
      </c>
      <c r="B171" s="74">
        <v>150</v>
      </c>
      <c r="C171" s="74">
        <v>260</v>
      </c>
    </row>
    <row r="172" spans="1:3" x14ac:dyDescent="0.25">
      <c r="A172" s="74">
        <v>170</v>
      </c>
      <c r="B172" s="74">
        <v>150</v>
      </c>
      <c r="C172" s="74">
        <v>260</v>
      </c>
    </row>
    <row r="173" spans="1:3" x14ac:dyDescent="0.25">
      <c r="A173" s="74">
        <v>171</v>
      </c>
      <c r="B173" s="74">
        <v>150</v>
      </c>
      <c r="C173" s="74">
        <v>260</v>
      </c>
    </row>
    <row r="174" spans="1:3" x14ac:dyDescent="0.25">
      <c r="A174" s="74">
        <v>172</v>
      </c>
      <c r="B174" s="74">
        <v>150</v>
      </c>
      <c r="C174" s="74">
        <v>260</v>
      </c>
    </row>
    <row r="175" spans="1:3" x14ac:dyDescent="0.25">
      <c r="A175" s="74">
        <v>173</v>
      </c>
      <c r="B175" s="74">
        <v>150</v>
      </c>
      <c r="C175" s="74">
        <v>260</v>
      </c>
    </row>
    <row r="176" spans="1:3" x14ac:dyDescent="0.25">
      <c r="A176" s="74">
        <v>174</v>
      </c>
      <c r="B176" s="74">
        <v>150</v>
      </c>
      <c r="C176" s="74">
        <v>260</v>
      </c>
    </row>
    <row r="177" spans="1:3" x14ac:dyDescent="0.25">
      <c r="A177" s="74">
        <v>175</v>
      </c>
      <c r="B177" s="74">
        <v>150</v>
      </c>
      <c r="C177" s="74">
        <v>260</v>
      </c>
    </row>
    <row r="178" spans="1:3" x14ac:dyDescent="0.25">
      <c r="A178" s="74">
        <v>176</v>
      </c>
      <c r="B178" s="74">
        <v>150</v>
      </c>
      <c r="C178" s="74">
        <v>260</v>
      </c>
    </row>
    <row r="179" spans="1:3" x14ac:dyDescent="0.25">
      <c r="A179" s="74">
        <v>177</v>
      </c>
      <c r="B179" s="74">
        <v>150</v>
      </c>
      <c r="C179" s="74">
        <v>260</v>
      </c>
    </row>
    <row r="180" spans="1:3" x14ac:dyDescent="0.25">
      <c r="A180" s="74">
        <v>178</v>
      </c>
      <c r="B180" s="74">
        <v>150</v>
      </c>
      <c r="C180" s="74">
        <v>260</v>
      </c>
    </row>
    <row r="181" spans="1:3" x14ac:dyDescent="0.25">
      <c r="A181" s="74">
        <v>179</v>
      </c>
      <c r="B181" s="74">
        <v>150</v>
      </c>
      <c r="C181" s="74">
        <v>260</v>
      </c>
    </row>
    <row r="182" spans="1:3" x14ac:dyDescent="0.25">
      <c r="A182" s="74">
        <v>180</v>
      </c>
      <c r="B182" s="74">
        <v>150</v>
      </c>
      <c r="C182" s="74">
        <v>260</v>
      </c>
    </row>
    <row r="183" spans="1:3" x14ac:dyDescent="0.25">
      <c r="A183" s="74">
        <v>181</v>
      </c>
      <c r="B183" s="74">
        <v>150</v>
      </c>
      <c r="C183" s="74">
        <v>260</v>
      </c>
    </row>
    <row r="184" spans="1:3" x14ac:dyDescent="0.25">
      <c r="A184" s="74">
        <v>182</v>
      </c>
      <c r="B184" s="74">
        <v>150</v>
      </c>
      <c r="C184" s="74">
        <v>260</v>
      </c>
    </row>
    <row r="185" spans="1:3" x14ac:dyDescent="0.25">
      <c r="A185" s="74">
        <v>183</v>
      </c>
      <c r="B185" s="74">
        <v>150</v>
      </c>
      <c r="C185" s="74">
        <v>260</v>
      </c>
    </row>
    <row r="186" spans="1:3" x14ac:dyDescent="0.25">
      <c r="A186" s="74">
        <v>184</v>
      </c>
      <c r="B186" s="74">
        <v>150</v>
      </c>
      <c r="C186" s="74">
        <v>260</v>
      </c>
    </row>
    <row r="187" spans="1:3" x14ac:dyDescent="0.25">
      <c r="A187" s="74">
        <v>185</v>
      </c>
      <c r="B187" s="74">
        <v>150</v>
      </c>
      <c r="C187" s="74">
        <v>260</v>
      </c>
    </row>
    <row r="188" spans="1:3" x14ac:dyDescent="0.25">
      <c r="A188" s="74">
        <v>186</v>
      </c>
      <c r="B188" s="74">
        <v>150</v>
      </c>
      <c r="C188" s="74">
        <v>260</v>
      </c>
    </row>
    <row r="189" spans="1:3" x14ac:dyDescent="0.25">
      <c r="A189" s="74">
        <v>187</v>
      </c>
      <c r="B189" s="74">
        <v>150</v>
      </c>
      <c r="C189" s="74">
        <v>260</v>
      </c>
    </row>
    <row r="190" spans="1:3" x14ac:dyDescent="0.25">
      <c r="A190" s="74">
        <v>188</v>
      </c>
      <c r="B190" s="74">
        <v>150</v>
      </c>
      <c r="C190" s="74">
        <v>260</v>
      </c>
    </row>
    <row r="191" spans="1:3" x14ac:dyDescent="0.25">
      <c r="A191" s="74">
        <v>189</v>
      </c>
      <c r="B191" s="74">
        <v>150</v>
      </c>
      <c r="C191" s="74">
        <v>260</v>
      </c>
    </row>
    <row r="192" spans="1:3" x14ac:dyDescent="0.25">
      <c r="A192" s="74">
        <v>190</v>
      </c>
      <c r="B192" s="74">
        <v>150</v>
      </c>
      <c r="C192" s="74">
        <v>260</v>
      </c>
    </row>
    <row r="193" spans="1:3" x14ac:dyDescent="0.25">
      <c r="A193" s="74">
        <v>191</v>
      </c>
      <c r="B193" s="74">
        <v>150</v>
      </c>
      <c r="C193" s="74">
        <v>260</v>
      </c>
    </row>
    <row r="194" spans="1:3" x14ac:dyDescent="0.25">
      <c r="A194" s="74">
        <v>192</v>
      </c>
      <c r="B194" s="74">
        <v>150</v>
      </c>
      <c r="C194" s="74">
        <v>260</v>
      </c>
    </row>
    <row r="195" spans="1:3" x14ac:dyDescent="0.25">
      <c r="A195" s="74">
        <v>193</v>
      </c>
      <c r="B195" s="74">
        <v>150</v>
      </c>
      <c r="C195" s="74">
        <v>260</v>
      </c>
    </row>
    <row r="196" spans="1:3" x14ac:dyDescent="0.25">
      <c r="A196" s="74">
        <v>194</v>
      </c>
      <c r="B196" s="74">
        <v>150</v>
      </c>
      <c r="C196" s="74">
        <v>260</v>
      </c>
    </row>
    <row r="197" spans="1:3" x14ac:dyDescent="0.25">
      <c r="A197" s="74">
        <v>195</v>
      </c>
      <c r="B197" s="74">
        <v>150</v>
      </c>
      <c r="C197" s="74">
        <v>260</v>
      </c>
    </row>
    <row r="198" spans="1:3" x14ac:dyDescent="0.25">
      <c r="A198" s="74">
        <v>196</v>
      </c>
      <c r="B198" s="74">
        <v>150</v>
      </c>
      <c r="C198" s="74">
        <v>260</v>
      </c>
    </row>
    <row r="199" spans="1:3" x14ac:dyDescent="0.25">
      <c r="A199" s="74">
        <v>197</v>
      </c>
      <c r="B199" s="74">
        <v>150</v>
      </c>
      <c r="C199" s="74">
        <v>260</v>
      </c>
    </row>
    <row r="200" spans="1:3" x14ac:dyDescent="0.25">
      <c r="A200" s="74">
        <v>198</v>
      </c>
      <c r="B200" s="74">
        <v>150</v>
      </c>
      <c r="C200" s="74">
        <v>260</v>
      </c>
    </row>
    <row r="201" spans="1:3" x14ac:dyDescent="0.25">
      <c r="A201" s="74">
        <v>199</v>
      </c>
      <c r="B201" s="74">
        <v>150</v>
      </c>
      <c r="C201" s="74">
        <v>260</v>
      </c>
    </row>
    <row r="202" spans="1:3" x14ac:dyDescent="0.25">
      <c r="A202" s="74">
        <v>200</v>
      </c>
      <c r="B202" s="74">
        <v>150</v>
      </c>
      <c r="C202" s="74">
        <v>260</v>
      </c>
    </row>
    <row r="203" spans="1:3" x14ac:dyDescent="0.25">
      <c r="A203" s="74">
        <v>201</v>
      </c>
      <c r="B203" s="74">
        <v>150</v>
      </c>
      <c r="C203" s="74">
        <v>260</v>
      </c>
    </row>
    <row r="204" spans="1:3" x14ac:dyDescent="0.25">
      <c r="A204" s="74">
        <v>202</v>
      </c>
      <c r="B204" s="74">
        <v>150</v>
      </c>
      <c r="C204" s="74">
        <v>260</v>
      </c>
    </row>
    <row r="205" spans="1:3" x14ac:dyDescent="0.25">
      <c r="A205" s="74">
        <v>203</v>
      </c>
      <c r="B205" s="74">
        <v>150</v>
      </c>
      <c r="C205" s="74">
        <v>260</v>
      </c>
    </row>
    <row r="206" spans="1:3" x14ac:dyDescent="0.25">
      <c r="A206" s="74">
        <v>204</v>
      </c>
      <c r="B206" s="74">
        <v>150</v>
      </c>
      <c r="C206" s="74">
        <v>260</v>
      </c>
    </row>
    <row r="207" spans="1:3" x14ac:dyDescent="0.25">
      <c r="A207" s="74">
        <v>205</v>
      </c>
      <c r="B207" s="74">
        <v>150</v>
      </c>
      <c r="C207" s="74">
        <v>260</v>
      </c>
    </row>
    <row r="208" spans="1:3" x14ac:dyDescent="0.25">
      <c r="A208" s="74">
        <v>206</v>
      </c>
      <c r="B208" s="74">
        <v>150</v>
      </c>
      <c r="C208" s="74">
        <v>260</v>
      </c>
    </row>
    <row r="209" spans="1:3" x14ac:dyDescent="0.25">
      <c r="A209" s="74">
        <v>207</v>
      </c>
      <c r="B209" s="74">
        <v>150</v>
      </c>
      <c r="C209" s="74">
        <v>260</v>
      </c>
    </row>
    <row r="210" spans="1:3" x14ac:dyDescent="0.25">
      <c r="A210" s="74">
        <v>208</v>
      </c>
      <c r="B210" s="74">
        <v>150</v>
      </c>
      <c r="C210" s="74">
        <v>260</v>
      </c>
    </row>
    <row r="211" spans="1:3" x14ac:dyDescent="0.25">
      <c r="A211" s="74">
        <v>209</v>
      </c>
      <c r="B211" s="74">
        <v>150</v>
      </c>
      <c r="C211" s="74">
        <v>260</v>
      </c>
    </row>
    <row r="212" spans="1:3" x14ac:dyDescent="0.25">
      <c r="A212" s="74">
        <v>210</v>
      </c>
      <c r="B212" s="74">
        <v>150</v>
      </c>
      <c r="C212" s="74">
        <v>260</v>
      </c>
    </row>
    <row r="213" spans="1:3" x14ac:dyDescent="0.25">
      <c r="A213" s="74">
        <v>211</v>
      </c>
      <c r="B213" s="74">
        <v>150</v>
      </c>
      <c r="C213" s="74">
        <v>260</v>
      </c>
    </row>
    <row r="214" spans="1:3" x14ac:dyDescent="0.25">
      <c r="A214" s="74">
        <v>212</v>
      </c>
      <c r="B214" s="74">
        <v>150</v>
      </c>
      <c r="C214" s="74">
        <v>260</v>
      </c>
    </row>
    <row r="215" spans="1:3" x14ac:dyDescent="0.25">
      <c r="A215" s="74">
        <v>213</v>
      </c>
      <c r="B215" s="74">
        <v>150</v>
      </c>
      <c r="C215" s="74">
        <v>260</v>
      </c>
    </row>
    <row r="216" spans="1:3" x14ac:dyDescent="0.25">
      <c r="A216" s="74">
        <v>214</v>
      </c>
      <c r="B216" s="74">
        <v>150</v>
      </c>
      <c r="C216" s="74">
        <v>260</v>
      </c>
    </row>
    <row r="217" spans="1:3" x14ac:dyDescent="0.25">
      <c r="A217" s="74">
        <v>215</v>
      </c>
      <c r="B217" s="74">
        <v>150</v>
      </c>
      <c r="C217" s="74">
        <v>260</v>
      </c>
    </row>
    <row r="218" spans="1:3" x14ac:dyDescent="0.25">
      <c r="A218" s="74">
        <v>216</v>
      </c>
      <c r="B218" s="74">
        <v>150</v>
      </c>
      <c r="C218" s="74">
        <v>260</v>
      </c>
    </row>
    <row r="219" spans="1:3" x14ac:dyDescent="0.25">
      <c r="A219" s="74">
        <v>217</v>
      </c>
      <c r="B219" s="74">
        <v>150</v>
      </c>
      <c r="C219" s="74">
        <v>260</v>
      </c>
    </row>
    <row r="220" spans="1:3" x14ac:dyDescent="0.25">
      <c r="A220" s="74">
        <v>218</v>
      </c>
      <c r="B220" s="74">
        <v>150</v>
      </c>
      <c r="C220" s="74">
        <v>260</v>
      </c>
    </row>
    <row r="221" spans="1:3" x14ac:dyDescent="0.25">
      <c r="A221" s="74">
        <v>219</v>
      </c>
      <c r="B221" s="74">
        <v>150</v>
      </c>
      <c r="C221" s="74">
        <v>260</v>
      </c>
    </row>
    <row r="222" spans="1:3" x14ac:dyDescent="0.25">
      <c r="A222" s="74">
        <v>220</v>
      </c>
      <c r="B222" s="74">
        <v>150</v>
      </c>
      <c r="C222" s="74">
        <v>260</v>
      </c>
    </row>
    <row r="223" spans="1:3" x14ac:dyDescent="0.25">
      <c r="A223" s="74">
        <v>221</v>
      </c>
      <c r="B223" s="74">
        <v>150</v>
      </c>
      <c r="C223" s="74">
        <v>260</v>
      </c>
    </row>
    <row r="224" spans="1:3" x14ac:dyDescent="0.25">
      <c r="A224" s="74">
        <v>222</v>
      </c>
      <c r="B224" s="74">
        <v>150</v>
      </c>
      <c r="C224" s="74">
        <v>260</v>
      </c>
    </row>
    <row r="225" spans="1:3" x14ac:dyDescent="0.25">
      <c r="A225" s="74">
        <v>223</v>
      </c>
      <c r="B225" s="74">
        <v>150</v>
      </c>
      <c r="C225" s="74">
        <v>260</v>
      </c>
    </row>
    <row r="226" spans="1:3" x14ac:dyDescent="0.25">
      <c r="A226" s="74">
        <v>224</v>
      </c>
      <c r="B226" s="74">
        <v>150</v>
      </c>
      <c r="C226" s="74">
        <v>260</v>
      </c>
    </row>
    <row r="227" spans="1:3" x14ac:dyDescent="0.25">
      <c r="A227" s="74">
        <v>225</v>
      </c>
      <c r="B227" s="74">
        <v>150</v>
      </c>
      <c r="C227" s="74">
        <v>260</v>
      </c>
    </row>
    <row r="228" spans="1:3" x14ac:dyDescent="0.25">
      <c r="A228" s="74">
        <v>226</v>
      </c>
      <c r="B228" s="74">
        <v>150</v>
      </c>
      <c r="C228" s="74">
        <v>260</v>
      </c>
    </row>
    <row r="229" spans="1:3" x14ac:dyDescent="0.25">
      <c r="A229" s="74">
        <v>227</v>
      </c>
      <c r="B229" s="74">
        <v>150</v>
      </c>
      <c r="C229" s="74">
        <v>260</v>
      </c>
    </row>
    <row r="230" spans="1:3" x14ac:dyDescent="0.25">
      <c r="A230" s="74">
        <v>228</v>
      </c>
      <c r="B230" s="74">
        <v>150</v>
      </c>
      <c r="C230" s="74">
        <v>260</v>
      </c>
    </row>
    <row r="231" spans="1:3" x14ac:dyDescent="0.25">
      <c r="A231" s="74">
        <v>229</v>
      </c>
      <c r="B231" s="74">
        <v>150</v>
      </c>
      <c r="C231" s="74">
        <v>260</v>
      </c>
    </row>
    <row r="232" spans="1:3" x14ac:dyDescent="0.25">
      <c r="A232" s="74">
        <v>230</v>
      </c>
      <c r="B232" s="74">
        <v>150</v>
      </c>
      <c r="C232" s="74">
        <v>260</v>
      </c>
    </row>
    <row r="233" spans="1:3" x14ac:dyDescent="0.25">
      <c r="A233" s="74">
        <v>231</v>
      </c>
      <c r="B233" s="74">
        <v>150</v>
      </c>
      <c r="C233" s="74">
        <v>260</v>
      </c>
    </row>
    <row r="234" spans="1:3" x14ac:dyDescent="0.25">
      <c r="A234" s="74">
        <v>232</v>
      </c>
      <c r="B234" s="74">
        <v>150</v>
      </c>
      <c r="C234" s="74">
        <v>260</v>
      </c>
    </row>
    <row r="235" spans="1:3" x14ac:dyDescent="0.25">
      <c r="A235" s="74">
        <v>233</v>
      </c>
      <c r="B235" s="74">
        <v>150</v>
      </c>
      <c r="C235" s="74">
        <v>260</v>
      </c>
    </row>
    <row r="236" spans="1:3" x14ac:dyDescent="0.25">
      <c r="A236" s="74">
        <v>234</v>
      </c>
      <c r="B236" s="74">
        <v>150</v>
      </c>
      <c r="C236" s="74">
        <v>260</v>
      </c>
    </row>
    <row r="237" spans="1:3" x14ac:dyDescent="0.25">
      <c r="A237" s="74">
        <v>235</v>
      </c>
      <c r="B237" s="74">
        <v>149.99971831594246</v>
      </c>
      <c r="C237" s="74">
        <v>260</v>
      </c>
    </row>
    <row r="238" spans="1:3" x14ac:dyDescent="0.25">
      <c r="A238" s="74">
        <v>236</v>
      </c>
      <c r="B238" s="74">
        <v>149.99887326059604</v>
      </c>
      <c r="C238" s="74">
        <v>260</v>
      </c>
    </row>
    <row r="239" spans="1:3" x14ac:dyDescent="0.25">
      <c r="A239" s="74">
        <v>237</v>
      </c>
      <c r="B239" s="74">
        <v>149.99746482443891</v>
      </c>
      <c r="C239" s="74">
        <v>260</v>
      </c>
    </row>
    <row r="240" spans="1:3" x14ac:dyDescent="0.25">
      <c r="A240" s="74">
        <v>238</v>
      </c>
      <c r="B240" s="74">
        <v>149.99549299160091</v>
      </c>
      <c r="C240" s="74">
        <v>260</v>
      </c>
    </row>
    <row r="241" spans="1:3" x14ac:dyDescent="0.25">
      <c r="A241" s="74">
        <v>239</v>
      </c>
      <c r="B241" s="74">
        <v>149.99295773986256</v>
      </c>
      <c r="C241" s="74">
        <v>260</v>
      </c>
    </row>
    <row r="242" spans="1:3" x14ac:dyDescent="0.25">
      <c r="A242" s="74">
        <v>240</v>
      </c>
      <c r="B242" s="74">
        <v>149.98985904065367</v>
      </c>
      <c r="C242" s="74">
        <v>260</v>
      </c>
    </row>
    <row r="243" spans="1:3" x14ac:dyDescent="0.25">
      <c r="A243" s="74">
        <v>241</v>
      </c>
      <c r="B243" s="74">
        <v>149.98619685905197</v>
      </c>
      <c r="C243" s="74">
        <v>260</v>
      </c>
    </row>
    <row r="244" spans="1:3" x14ac:dyDescent="0.25">
      <c r="A244" s="74">
        <v>242</v>
      </c>
      <c r="B244" s="74">
        <v>149.98197115378105</v>
      </c>
      <c r="C244" s="74">
        <v>260</v>
      </c>
    </row>
    <row r="245" spans="1:3" x14ac:dyDescent="0.25">
      <c r="A245" s="74">
        <v>243</v>
      </c>
      <c r="B245" s="74">
        <v>149.9771818772079</v>
      </c>
      <c r="C245" s="74">
        <v>260</v>
      </c>
    </row>
    <row r="246" spans="1:3" x14ac:dyDescent="0.25">
      <c r="A246" s="74">
        <v>244</v>
      </c>
      <c r="B246" s="74">
        <v>149.97182897534046</v>
      </c>
      <c r="C246" s="74">
        <v>259.9851610200422</v>
      </c>
    </row>
    <row r="247" spans="1:3" x14ac:dyDescent="0.25">
      <c r="A247" s="74">
        <v>245</v>
      </c>
      <c r="B247" s="74">
        <v>149.96591238782432</v>
      </c>
      <c r="C247" s="74">
        <v>259.9820447266444</v>
      </c>
    </row>
    <row r="248" spans="1:3" x14ac:dyDescent="0.25">
      <c r="A248" s="74">
        <v>246</v>
      </c>
      <c r="B248" s="74">
        <v>149.9594320479396</v>
      </c>
      <c r="C248" s="74">
        <v>259.97863160053919</v>
      </c>
    </row>
    <row r="249" spans="1:3" x14ac:dyDescent="0.25">
      <c r="A249" s="74">
        <v>247</v>
      </c>
      <c r="B249" s="74">
        <v>149.95238788259695</v>
      </c>
      <c r="C249" s="74">
        <v>259.97492163003574</v>
      </c>
    </row>
    <row r="250" spans="1:3" x14ac:dyDescent="0.25">
      <c r="A250" s="74">
        <v>248</v>
      </c>
      <c r="B250" s="74">
        <v>149.94477981233348</v>
      </c>
      <c r="C250" s="74">
        <v>259.97091480242528</v>
      </c>
    </row>
    <row r="251" spans="1:3" x14ac:dyDescent="0.25">
      <c r="A251" s="74">
        <v>249</v>
      </c>
      <c r="B251" s="74">
        <v>149.9366077513084</v>
      </c>
      <c r="C251" s="74">
        <v>259.96661110398179</v>
      </c>
    </row>
    <row r="252" spans="1:3" x14ac:dyDescent="0.25">
      <c r="A252" s="74">
        <v>250</v>
      </c>
      <c r="B252" s="74">
        <v>149.92787160729799</v>
      </c>
      <c r="C252" s="74">
        <v>259.96201051996087</v>
      </c>
    </row>
    <row r="253" spans="1:3" x14ac:dyDescent="0.25">
      <c r="A253" s="74">
        <v>251</v>
      </c>
      <c r="B253" s="74">
        <v>149.9185712816905</v>
      </c>
      <c r="C253" s="74">
        <v>259.9571130346003</v>
      </c>
    </row>
    <row r="254" spans="1:3" x14ac:dyDescent="0.25">
      <c r="A254" s="74">
        <v>252</v>
      </c>
      <c r="B254" s="74">
        <v>149.90870666948064</v>
      </c>
      <c r="C254" s="74">
        <v>259.95191863111916</v>
      </c>
    </row>
    <row r="255" spans="1:3" x14ac:dyDescent="0.25">
      <c r="A255" s="74">
        <v>253</v>
      </c>
      <c r="B255" s="74">
        <v>149.89827765926341</v>
      </c>
      <c r="C255" s="74">
        <v>259.94642729171795</v>
      </c>
    </row>
    <row r="256" spans="1:3" x14ac:dyDescent="0.25">
      <c r="A256" s="74">
        <v>254</v>
      </c>
      <c r="B256" s="74">
        <v>149.88728413322806</v>
      </c>
      <c r="C256" s="74">
        <v>259.94063899757793</v>
      </c>
    </row>
    <row r="257" spans="1:3" x14ac:dyDescent="0.25">
      <c r="A257" s="74">
        <v>255</v>
      </c>
      <c r="B257" s="74">
        <v>149.87572596715131</v>
      </c>
      <c r="C257" s="74">
        <v>259.9345537288612</v>
      </c>
    </row>
    <row r="258" spans="1:3" x14ac:dyDescent="0.25">
      <c r="A258" s="74">
        <v>256</v>
      </c>
      <c r="B258" s="74">
        <v>149.86360303039029</v>
      </c>
      <c r="C258" s="74">
        <v>259.92817146470992</v>
      </c>
    </row>
    <row r="259" spans="1:3" x14ac:dyDescent="0.25">
      <c r="A259" s="74">
        <v>257</v>
      </c>
      <c r="B259" s="74">
        <v>149.85091518587515</v>
      </c>
      <c r="C259" s="74">
        <v>259.92149218324641</v>
      </c>
    </row>
    <row r="260" spans="1:3" x14ac:dyDescent="0.25">
      <c r="A260" s="74">
        <v>258</v>
      </c>
      <c r="B260" s="74">
        <v>149.83766229010138</v>
      </c>
      <c r="C260" s="74">
        <v>259.9145158615724</v>
      </c>
    </row>
    <row r="261" spans="1:3" x14ac:dyDescent="0.25">
      <c r="A261" s="74">
        <v>259</v>
      </c>
      <c r="B261" s="74">
        <v>149.82384419312154</v>
      </c>
      <c r="C261" s="74">
        <v>259.90724247576867</v>
      </c>
    </row>
    <row r="262" spans="1:3" x14ac:dyDescent="0.25">
      <c r="A262" s="74">
        <v>260</v>
      </c>
      <c r="B262" s="74">
        <v>149.8094607385369</v>
      </c>
      <c r="C262" s="74">
        <v>259.89967200089507</v>
      </c>
    </row>
    <row r="263" spans="1:3" x14ac:dyDescent="0.25">
      <c r="A263" s="74">
        <v>261</v>
      </c>
      <c r="B263" s="74">
        <v>149.79451176348843</v>
      </c>
      <c r="C263" s="74">
        <v>259.89180441098944</v>
      </c>
    </row>
    <row r="264" spans="1:3" x14ac:dyDescent="0.25">
      <c r="A264" s="74">
        <v>262</v>
      </c>
      <c r="B264" s="74">
        <v>149.77899709864761</v>
      </c>
      <c r="C264" s="74">
        <v>259.8836396790677</v>
      </c>
    </row>
    <row r="265" spans="1:3" x14ac:dyDescent="0.25">
      <c r="A265" s="74">
        <v>263</v>
      </c>
      <c r="B265" s="74">
        <v>149.76291656820683</v>
      </c>
      <c r="C265" s="74">
        <v>259.8751777771231</v>
      </c>
    </row>
    <row r="266" spans="1:3" x14ac:dyDescent="0.25">
      <c r="A266" s="74">
        <v>264</v>
      </c>
      <c r="B266" s="74">
        <v>149.74626998986938</v>
      </c>
      <c r="C266" s="74">
        <v>259.86641867612587</v>
      </c>
    </row>
    <row r="267" spans="1:3" x14ac:dyDescent="0.25">
      <c r="A267" s="74">
        <v>265</v>
      </c>
      <c r="B267" s="74">
        <v>149.72905717483897</v>
      </c>
      <c r="C267" s="74">
        <v>259.85736234602263</v>
      </c>
    </row>
    <row r="268" spans="1:3" x14ac:dyDescent="0.25">
      <c r="A268" s="74">
        <v>266</v>
      </c>
      <c r="B268" s="74">
        <v>149.71127792780916</v>
      </c>
      <c r="C268" s="74">
        <v>259.84800875573586</v>
      </c>
    </row>
    <row r="269" spans="1:3" x14ac:dyDescent="0.25">
      <c r="A269" s="74">
        <v>267</v>
      </c>
      <c r="B269" s="74">
        <v>149.69293204695208</v>
      </c>
      <c r="C269" s="74">
        <v>259.8383578731636</v>
      </c>
    </row>
    <row r="270" spans="1:3" x14ac:dyDescent="0.25">
      <c r="A270" s="74">
        <v>268</v>
      </c>
      <c r="B270" s="74">
        <v>149.67401932390698</v>
      </c>
      <c r="C270" s="74">
        <v>259.82840966517847</v>
      </c>
    </row>
    <row r="271" spans="1:3" x14ac:dyDescent="0.25">
      <c r="A271" s="74">
        <v>269</v>
      </c>
      <c r="B271" s="74">
        <v>149.65453954376835</v>
      </c>
      <c r="C271" s="74">
        <v>259.81816409762757</v>
      </c>
    </row>
    <row r="272" spans="1:3" x14ac:dyDescent="0.25">
      <c r="A272" s="74">
        <v>270</v>
      </c>
      <c r="B272" s="74">
        <v>149.63449248507359</v>
      </c>
      <c r="C272" s="74">
        <v>259.8076211353316</v>
      </c>
    </row>
    <row r="273" spans="1:3" x14ac:dyDescent="0.25">
      <c r="A273" s="74">
        <v>271</v>
      </c>
      <c r="B273" s="74">
        <v>149.61387791979038</v>
      </c>
      <c r="C273" s="74">
        <v>259.79678074208431</v>
      </c>
    </row>
    <row r="274" spans="1:3" x14ac:dyDescent="0.25">
      <c r="A274" s="74">
        <v>272</v>
      </c>
      <c r="B274" s="74">
        <v>149.59269561330365</v>
      </c>
      <c r="C274" s="74">
        <v>259.78564288065184</v>
      </c>
    </row>
    <row r="275" spans="1:3" x14ac:dyDescent="0.25">
      <c r="A275" s="74">
        <v>273</v>
      </c>
      <c r="B275" s="74">
        <v>149.57094532440203</v>
      </c>
      <c r="C275" s="74">
        <v>259.77420751277231</v>
      </c>
    </row>
    <row r="276" spans="1:3" x14ac:dyDescent="0.25">
      <c r="A276" s="74">
        <v>274</v>
      </c>
      <c r="B276" s="74">
        <v>149.54862680526421</v>
      </c>
      <c r="C276" s="74">
        <v>259.76247459915481</v>
      </c>
    </row>
    <row r="277" spans="1:3" x14ac:dyDescent="0.25">
      <c r="A277" s="74">
        <v>275</v>
      </c>
      <c r="B277" s="74">
        <v>149.5257398014445</v>
      </c>
      <c r="C277" s="74">
        <v>259.75044409947895</v>
      </c>
    </row>
    <row r="278" spans="1:3" x14ac:dyDescent="0.25">
      <c r="A278" s="74">
        <v>276</v>
      </c>
      <c r="B278" s="74">
        <v>149.5022840518584</v>
      </c>
      <c r="C278" s="74">
        <v>259.73811597239421</v>
      </c>
    </row>
    <row r="279" spans="1:3" x14ac:dyDescent="0.25">
      <c r="A279" s="74">
        <v>277</v>
      </c>
      <c r="B279" s="74">
        <v>149.47825928876748</v>
      </c>
      <c r="C279" s="74">
        <v>259.72549017551893</v>
      </c>
    </row>
    <row r="280" spans="1:3" x14ac:dyDescent="0.25">
      <c r="A280" s="74">
        <v>278</v>
      </c>
      <c r="B280" s="74">
        <v>149.453665237764</v>
      </c>
      <c r="C280" s="74">
        <v>259.71256666544002</v>
      </c>
    </row>
    <row r="281" spans="1:3" x14ac:dyDescent="0.25">
      <c r="A281" s="74">
        <v>279</v>
      </c>
      <c r="B281" s="74">
        <v>149.42850161775505</v>
      </c>
      <c r="C281" s="74">
        <v>259.6993453977118</v>
      </c>
    </row>
    <row r="282" spans="1:3" x14ac:dyDescent="0.25">
      <c r="A282" s="74">
        <v>280</v>
      </c>
      <c r="B282" s="74">
        <v>149.40276814094642</v>
      </c>
      <c r="C282" s="74">
        <v>259.68582632685542</v>
      </c>
    </row>
    <row r="283" spans="1:3" x14ac:dyDescent="0.25">
      <c r="A283" s="74">
        <v>281</v>
      </c>
      <c r="B283" s="74">
        <v>149.37646451282592</v>
      </c>
      <c r="C283" s="74">
        <v>259.67200940635826</v>
      </c>
    </row>
    <row r="284" spans="1:3" x14ac:dyDescent="0.25">
      <c r="A284" s="74">
        <v>282</v>
      </c>
      <c r="B284" s="74">
        <v>149.34959043214636</v>
      </c>
      <c r="C284" s="74">
        <v>259.6578945886726</v>
      </c>
    </row>
    <row r="285" spans="1:3" x14ac:dyDescent="0.25">
      <c r="A285" s="74">
        <v>283</v>
      </c>
      <c r="B285" s="74">
        <v>149.32214559090812</v>
      </c>
      <c r="C285" s="74">
        <v>259.64348182521547</v>
      </c>
    </row>
    <row r="286" spans="1:3" x14ac:dyDescent="0.25">
      <c r="A286" s="74">
        <v>284</v>
      </c>
      <c r="B286" s="74">
        <v>149.29412967434129</v>
      </c>
      <c r="C286" s="74">
        <v>259.62877106636716</v>
      </c>
    </row>
    <row r="287" spans="1:3" x14ac:dyDescent="0.25">
      <c r="A287" s="74">
        <v>285</v>
      </c>
      <c r="B287" s="74">
        <v>149.26554236088745</v>
      </c>
      <c r="C287" s="74">
        <v>259.61376226147092</v>
      </c>
    </row>
    <row r="288" spans="1:3" x14ac:dyDescent="0.25">
      <c r="A288" s="74">
        <v>286</v>
      </c>
      <c r="B288" s="74">
        <v>149.2363833221809</v>
      </c>
      <c r="C288" s="74">
        <v>259.59845535883176</v>
      </c>
    </row>
    <row r="289" spans="1:3" x14ac:dyDescent="0.25">
      <c r="A289" s="74">
        <v>287</v>
      </c>
      <c r="B289" s="74">
        <v>149.20665222302964</v>
      </c>
      <c r="C289" s="74">
        <v>259.58285030571551</v>
      </c>
    </row>
    <row r="290" spans="1:3" x14ac:dyDescent="0.25">
      <c r="A290" s="74">
        <v>288</v>
      </c>
      <c r="B290" s="74">
        <v>149.17634872139578</v>
      </c>
      <c r="C290" s="74">
        <v>259.5669470483482</v>
      </c>
    </row>
    <row r="291" spans="1:3" x14ac:dyDescent="0.25">
      <c r="A291" s="74">
        <v>289</v>
      </c>
      <c r="B291" s="74">
        <v>149.14547246837577</v>
      </c>
      <c r="C291" s="74">
        <v>259.55074553191491</v>
      </c>
    </row>
    <row r="292" spans="1:3" x14ac:dyDescent="0.25">
      <c r="A292" s="74">
        <v>290</v>
      </c>
      <c r="B292" s="74">
        <v>149.11402310817974</v>
      </c>
      <c r="C292" s="74">
        <v>259.53424570055881</v>
      </c>
    </row>
    <row r="293" spans="1:3" x14ac:dyDescent="0.25">
      <c r="A293" s="74">
        <v>291</v>
      </c>
      <c r="B293" s="74">
        <v>149.08200027811091</v>
      </c>
      <c r="C293" s="74">
        <v>259.51744749738032</v>
      </c>
    </row>
    <row r="294" spans="1:3" x14ac:dyDescent="0.25">
      <c r="A294" s="74">
        <v>292</v>
      </c>
      <c r="B294" s="74">
        <v>149.04940360854431</v>
      </c>
      <c r="C294" s="74">
        <v>259.50035086443609</v>
      </c>
    </row>
    <row r="295" spans="1:3" x14ac:dyDescent="0.25">
      <c r="A295" s="74">
        <v>293</v>
      </c>
      <c r="B295" s="74">
        <v>149.01623272290502</v>
      </c>
      <c r="C295" s="74">
        <v>259.48295574273783</v>
      </c>
    </row>
    <row r="296" spans="1:3" x14ac:dyDescent="0.25">
      <c r="A296" s="74">
        <v>294</v>
      </c>
      <c r="B296" s="74">
        <v>148.98248723764621</v>
      </c>
      <c r="C296" s="74">
        <v>259.46526207225162</v>
      </c>
    </row>
    <row r="297" spans="1:3" x14ac:dyDescent="0.25">
      <c r="A297" s="74">
        <v>295</v>
      </c>
      <c r="B297" s="74">
        <v>148.94816676222644</v>
      </c>
      <c r="C297" s="74">
        <v>259.44726979189653</v>
      </c>
    </row>
    <row r="298" spans="1:3" x14ac:dyDescent="0.25">
      <c r="A298" s="74">
        <v>296</v>
      </c>
      <c r="B298" s="74">
        <v>148.91327089908674</v>
      </c>
      <c r="C298" s="74">
        <v>259.42897883954367</v>
      </c>
    </row>
    <row r="299" spans="1:3" x14ac:dyDescent="0.25">
      <c r="A299" s="74">
        <v>297</v>
      </c>
      <c r="B299" s="74">
        <v>148.87779924362712</v>
      </c>
      <c r="C299" s="74">
        <v>259.41038915201528</v>
      </c>
    </row>
    <row r="300" spans="1:3" x14ac:dyDescent="0.25">
      <c r="A300" s="74">
        <v>298</v>
      </c>
      <c r="B300" s="74">
        <v>148.84175138418277</v>
      </c>
      <c r="C300" s="74">
        <v>259.39150066508336</v>
      </c>
    </row>
    <row r="301" spans="1:3" x14ac:dyDescent="0.25">
      <c r="A301" s="74">
        <v>299</v>
      </c>
      <c r="B301" s="74">
        <v>148.8051269019995</v>
      </c>
      <c r="C301" s="74">
        <v>259.37231331346885</v>
      </c>
    </row>
    <row r="302" spans="1:3" x14ac:dyDescent="0.25">
      <c r="A302" s="74">
        <v>300</v>
      </c>
      <c r="B302" s="74">
        <v>148.76792537120915</v>
      </c>
      <c r="C302" s="74">
        <v>259.35282703084016</v>
      </c>
    </row>
    <row r="303" spans="1:3" x14ac:dyDescent="0.25">
      <c r="A303" s="74">
        <v>301</v>
      </c>
      <c r="B303" s="74">
        <v>148.73014635880415</v>
      </c>
      <c r="C303" s="74">
        <v>259.33304174981225</v>
      </c>
    </row>
    <row r="304" spans="1:3" x14ac:dyDescent="0.25">
      <c r="A304" s="74">
        <v>302</v>
      </c>
      <c r="B304" s="74">
        <v>148.69178942461193</v>
      </c>
      <c r="C304" s="74">
        <v>259.31295740194548</v>
      </c>
    </row>
    <row r="305" spans="1:3" x14ac:dyDescent="0.25">
      <c r="A305" s="74">
        <v>303</v>
      </c>
      <c r="B305" s="74">
        <v>148.65285412126852</v>
      </c>
      <c r="C305" s="74">
        <v>259.29257391774428</v>
      </c>
    </row>
    <row r="306" spans="1:3" x14ac:dyDescent="0.25">
      <c r="A306" s="74">
        <v>304</v>
      </c>
      <c r="B306" s="74">
        <v>148.61333999419202</v>
      </c>
      <c r="C306" s="74">
        <v>259.27189122665595</v>
      </c>
    </row>
    <row r="307" spans="1:3" x14ac:dyDescent="0.25">
      <c r="A307" s="74">
        <v>305</v>
      </c>
      <c r="B307" s="74">
        <v>148.57324658155542</v>
      </c>
      <c r="C307" s="74">
        <v>259.25090925706951</v>
      </c>
    </row>
    <row r="308" spans="1:3" x14ac:dyDescent="0.25">
      <c r="A308" s="74">
        <v>306</v>
      </c>
      <c r="B308" s="74">
        <v>148.53257341425885</v>
      </c>
      <c r="C308" s="74">
        <v>259.22962793631439</v>
      </c>
    </row>
    <row r="309" spans="1:3" x14ac:dyDescent="0.25">
      <c r="A309" s="74">
        <v>307</v>
      </c>
      <c r="B309" s="74">
        <v>148.49132001590161</v>
      </c>
      <c r="C309" s="74">
        <v>259.20804719065933</v>
      </c>
    </row>
    <row r="310" spans="1:3" x14ac:dyDescent="0.25">
      <c r="A310" s="74">
        <v>308</v>
      </c>
      <c r="B310" s="74">
        <v>148.44948590275339</v>
      </c>
      <c r="C310" s="74">
        <v>259.18616694531073</v>
      </c>
    </row>
    <row r="311" spans="1:3" x14ac:dyDescent="0.25">
      <c r="A311" s="74">
        <v>309</v>
      </c>
      <c r="B311" s="74">
        <v>148.40707058372533</v>
      </c>
      <c r="C311" s="74">
        <v>259.16398712441168</v>
      </c>
    </row>
    <row r="312" spans="1:3" x14ac:dyDescent="0.25">
      <c r="A312" s="74">
        <v>310</v>
      </c>
      <c r="B312" s="74">
        <v>148.3640735603403</v>
      </c>
      <c r="C312" s="74">
        <v>259.14150765104057</v>
      </c>
    </row>
    <row r="313" spans="1:3" x14ac:dyDescent="0.25">
      <c r="A313" s="74">
        <v>311</v>
      </c>
      <c r="B313" s="74">
        <v>148.32049432670277</v>
      </c>
      <c r="C313" s="74">
        <v>259.11872844720966</v>
      </c>
    </row>
    <row r="314" spans="1:3" x14ac:dyDescent="0.25">
      <c r="A314" s="74">
        <v>312</v>
      </c>
      <c r="B314" s="74">
        <v>148.27633236946835</v>
      </c>
      <c r="C314" s="74">
        <v>259.09564943386363</v>
      </c>
    </row>
    <row r="315" spans="1:3" x14ac:dyDescent="0.25">
      <c r="A315" s="74">
        <v>313</v>
      </c>
      <c r="B315" s="74">
        <v>148.23158716781253</v>
      </c>
      <c r="C315" s="74">
        <v>259.07227053087848</v>
      </c>
    </row>
    <row r="316" spans="1:3" x14ac:dyDescent="0.25">
      <c r="A316" s="74">
        <v>314</v>
      </c>
      <c r="B316" s="74">
        <v>148.18625819339908</v>
      </c>
      <c r="C316" s="74">
        <v>259.04859165705989</v>
      </c>
    </row>
    <row r="317" spans="1:3" x14ac:dyDescent="0.25">
      <c r="A317" s="74">
        <v>315</v>
      </c>
      <c r="B317" s="74">
        <v>148.14034491034789</v>
      </c>
      <c r="C317" s="74">
        <v>259.02461273014194</v>
      </c>
    </row>
    <row r="318" spans="1:3" x14ac:dyDescent="0.25">
      <c r="A318" s="74">
        <v>316</v>
      </c>
      <c r="B318" s="74">
        <v>148.09384677520239</v>
      </c>
      <c r="C318" s="74">
        <v>259.00033366678542</v>
      </c>
    </row>
    <row r="319" spans="1:3" x14ac:dyDescent="0.25">
      <c r="A319" s="74">
        <v>317</v>
      </c>
      <c r="B319" s="74">
        <v>148.04676323689614</v>
      </c>
      <c r="C319" s="74">
        <v>258.97575438257667</v>
      </c>
    </row>
    <row r="320" spans="1:3" x14ac:dyDescent="0.25">
      <c r="A320" s="74">
        <v>318</v>
      </c>
      <c r="B320" s="74">
        <v>147.99909373671926</v>
      </c>
      <c r="C320" s="74">
        <v>258.95087479202607</v>
      </c>
    </row>
    <row r="321" spans="1:3" x14ac:dyDescent="0.25">
      <c r="A321" s="74">
        <v>319</v>
      </c>
      <c r="B321" s="74">
        <v>147.95083770828407</v>
      </c>
      <c r="C321" s="74">
        <v>258.92569480856622</v>
      </c>
    </row>
    <row r="322" spans="1:3" x14ac:dyDescent="0.25">
      <c r="A322" s="74">
        <v>320</v>
      </c>
      <c r="B322" s="74">
        <v>147.9019945774904</v>
      </c>
      <c r="C322" s="74">
        <v>258.90021434455076</v>
      </c>
    </row>
    <row r="323" spans="1:3" x14ac:dyDescent="0.25">
      <c r="A323" s="74">
        <v>321</v>
      </c>
      <c r="B323" s="74">
        <v>147.85256376248995</v>
      </c>
      <c r="C323" s="74">
        <v>258.87443331125269</v>
      </c>
    </row>
    <row r="324" spans="1:3" x14ac:dyDescent="0.25">
      <c r="A324" s="74">
        <v>322</v>
      </c>
      <c r="B324" s="74">
        <v>147.80254467365063</v>
      </c>
      <c r="C324" s="74">
        <v>258.84835161886286</v>
      </c>
    </row>
    <row r="325" spans="1:3" x14ac:dyDescent="0.25">
      <c r="A325" s="74">
        <v>323</v>
      </c>
      <c r="B325" s="74">
        <v>147.75193671351994</v>
      </c>
      <c r="C325" s="74">
        <v>258.82196917648832</v>
      </c>
    </row>
    <row r="326" spans="1:3" x14ac:dyDescent="0.25">
      <c r="A326" s="74">
        <v>324</v>
      </c>
      <c r="B326" s="74">
        <v>147.70073927678791</v>
      </c>
      <c r="C326" s="74">
        <v>258.79528589215067</v>
      </c>
    </row>
    <row r="327" spans="1:3" x14ac:dyDescent="0.25">
      <c r="A327" s="74">
        <v>325</v>
      </c>
      <c r="B327" s="74">
        <v>147.64895175024961</v>
      </c>
      <c r="C327" s="74">
        <v>258.76830167278467</v>
      </c>
    </row>
    <row r="328" spans="1:3" x14ac:dyDescent="0.25">
      <c r="A328" s="74">
        <v>326</v>
      </c>
      <c r="B328" s="74">
        <v>147.59657351276681</v>
      </c>
      <c r="C328" s="74">
        <v>258.74101642423631</v>
      </c>
    </row>
    <row r="329" spans="1:3" x14ac:dyDescent="0.25">
      <c r="A329" s="74">
        <v>327</v>
      </c>
      <c r="B329" s="74">
        <v>147.54360393522921</v>
      </c>
      <c r="C329" s="74">
        <v>258.71343005126135</v>
      </c>
    </row>
    <row r="330" spans="1:3" x14ac:dyDescent="0.25">
      <c r="A330" s="74">
        <v>328</v>
      </c>
      <c r="B330" s="74">
        <v>147.49004238051518</v>
      </c>
      <c r="C330" s="74">
        <v>258.68554245752352</v>
      </c>
    </row>
    <row r="331" spans="1:3" x14ac:dyDescent="0.25">
      <c r="A331" s="74">
        <v>329</v>
      </c>
      <c r="B331" s="74">
        <v>147.43588820345175</v>
      </c>
      <c r="C331" s="74">
        <v>258.65735354559297</v>
      </c>
    </row>
    <row r="332" spans="1:3" x14ac:dyDescent="0.25">
      <c r="A332" s="74">
        <v>330</v>
      </c>
      <c r="B332" s="74">
        <v>147.38114075077399</v>
      </c>
      <c r="C332" s="74">
        <v>258.6288632169443</v>
      </c>
    </row>
    <row r="333" spans="1:3" x14ac:dyDescent="0.25">
      <c r="A333" s="74">
        <v>331</v>
      </c>
      <c r="B333" s="74">
        <v>147.32579936108397</v>
      </c>
      <c r="C333" s="74">
        <v>258.60007137195504</v>
      </c>
    </row>
    <row r="334" spans="1:3" x14ac:dyDescent="0.25">
      <c r="A334" s="74">
        <v>332</v>
      </c>
      <c r="B334" s="74">
        <v>147.2698633648088</v>
      </c>
      <c r="C334" s="74">
        <v>258.57097790990377</v>
      </c>
    </row>
    <row r="335" spans="1:3" x14ac:dyDescent="0.25">
      <c r="A335" s="74">
        <v>333</v>
      </c>
      <c r="B335" s="74">
        <v>147.21333208415845</v>
      </c>
      <c r="C335" s="74">
        <v>258.54158272896836</v>
      </c>
    </row>
    <row r="336" spans="1:3" x14ac:dyDescent="0.25">
      <c r="A336" s="74">
        <v>334</v>
      </c>
      <c r="B336" s="74">
        <v>147.15620483308254</v>
      </c>
      <c r="C336" s="74">
        <v>258.51188572622419</v>
      </c>
    </row>
    <row r="337" spans="1:3" x14ac:dyDescent="0.25">
      <c r="A337" s="74">
        <v>335</v>
      </c>
      <c r="B337" s="74">
        <v>147.09848091722688</v>
      </c>
      <c r="C337" s="74">
        <v>258.48188679764223</v>
      </c>
    </row>
    <row r="338" spans="1:3" x14ac:dyDescent="0.25">
      <c r="A338" s="74">
        <v>336</v>
      </c>
      <c r="B338" s="74">
        <v>147.04015963388895</v>
      </c>
      <c r="C338" s="74">
        <v>258.45158583808734</v>
      </c>
    </row>
    <row r="339" spans="1:3" x14ac:dyDescent="0.25">
      <c r="A339" s="74">
        <v>337</v>
      </c>
      <c r="B339" s="74">
        <v>146.98124027197318</v>
      </c>
      <c r="C339" s="74">
        <v>258.42098274131621</v>
      </c>
    </row>
    <row r="340" spans="1:3" x14ac:dyDescent="0.25">
      <c r="A340" s="74">
        <v>338</v>
      </c>
      <c r="B340" s="74">
        <v>146.92172211194517</v>
      </c>
      <c r="C340" s="74">
        <v>258.39007739997567</v>
      </c>
    </row>
    <row r="341" spans="1:3" x14ac:dyDescent="0.25">
      <c r="A341" s="74">
        <v>339</v>
      </c>
      <c r="B341" s="74">
        <v>146.86160442578569</v>
      </c>
      <c r="C341" s="74">
        <v>258.35886970560068</v>
      </c>
    </row>
    <row r="342" spans="1:3" x14ac:dyDescent="0.25">
      <c r="A342" s="74">
        <v>340</v>
      </c>
      <c r="B342" s="74">
        <v>146.80088647694345</v>
      </c>
      <c r="C342" s="74">
        <v>258.32735954861232</v>
      </c>
    </row>
    <row r="343" spans="1:3" x14ac:dyDescent="0.25">
      <c r="A343" s="74">
        <v>341</v>
      </c>
      <c r="B343" s="74">
        <v>146.73956752028781</v>
      </c>
      <c r="C343" s="74">
        <v>258.29554681831593</v>
      </c>
    </row>
    <row r="344" spans="1:3" x14ac:dyDescent="0.25">
      <c r="A344" s="74">
        <v>342</v>
      </c>
      <c r="B344" s="74">
        <v>146.67764680206028</v>
      </c>
      <c r="C344" s="74">
        <v>258.26343140289919</v>
      </c>
    </row>
    <row r="345" spans="1:3" x14ac:dyDescent="0.25">
      <c r="A345" s="74">
        <v>343</v>
      </c>
      <c r="B345" s="74">
        <v>146.61512355982569</v>
      </c>
      <c r="C345" s="74">
        <v>258.23101318942992</v>
      </c>
    </row>
    <row r="346" spans="1:3" x14ac:dyDescent="0.25">
      <c r="A346" s="74">
        <v>344</v>
      </c>
      <c r="B346" s="74">
        <v>146.55199702242251</v>
      </c>
      <c r="C346" s="74">
        <v>258.19829206385418</v>
      </c>
    </row>
    <row r="347" spans="1:3" x14ac:dyDescent="0.25">
      <c r="A347" s="74">
        <v>345</v>
      </c>
      <c r="B347" s="74">
        <v>146.48826640991251</v>
      </c>
      <c r="C347" s="74">
        <v>258.16526791099449</v>
      </c>
    </row>
    <row r="348" spans="1:3" x14ac:dyDescent="0.25">
      <c r="A348" s="74">
        <v>346</v>
      </c>
      <c r="B348" s="74">
        <v>146.42393093352959</v>
      </c>
      <c r="C348" s="74">
        <v>258.13194061454715</v>
      </c>
    </row>
    <row r="349" spans="1:3" x14ac:dyDescent="0.25">
      <c r="A349" s="74">
        <v>347</v>
      </c>
      <c r="B349" s="74">
        <v>146.35898979562805</v>
      </c>
      <c r="C349" s="74">
        <v>258.09831005708077</v>
      </c>
    </row>
    <row r="350" spans="1:3" x14ac:dyDescent="0.25">
      <c r="A350" s="74">
        <v>348</v>
      </c>
      <c r="B350" s="74">
        <v>146.2934421896301</v>
      </c>
      <c r="C350" s="74">
        <v>258.06437612003373</v>
      </c>
    </row>
    <row r="351" spans="1:3" x14ac:dyDescent="0.25">
      <c r="A351" s="74">
        <v>349</v>
      </c>
      <c r="B351" s="74">
        <v>146.22728729997252</v>
      </c>
      <c r="C351" s="74">
        <v>258.03013868371227</v>
      </c>
    </row>
    <row r="352" spans="1:3" x14ac:dyDescent="0.25">
      <c r="A352" s="74">
        <v>350</v>
      </c>
      <c r="B352" s="74">
        <v>146.16052430205272</v>
      </c>
      <c r="C352" s="74">
        <v>257.99559762728848</v>
      </c>
    </row>
    <row r="353" spans="1:3" x14ac:dyDescent="0.25">
      <c r="A353" s="74">
        <v>351</v>
      </c>
      <c r="B353" s="74">
        <v>146.09315236217392</v>
      </c>
      <c r="C353" s="74">
        <v>257.96075282879758</v>
      </c>
    </row>
    <row r="354" spans="1:3" x14ac:dyDescent="0.25">
      <c r="A354" s="74">
        <v>352</v>
      </c>
      <c r="B354" s="74">
        <v>146.02517063748957</v>
      </c>
      <c r="C354" s="74">
        <v>257.92560416513641</v>
      </c>
    </row>
    <row r="355" spans="1:3" x14ac:dyDescent="0.25">
      <c r="A355" s="74">
        <v>353</v>
      </c>
      <c r="B355" s="74">
        <v>145.95657827594724</v>
      </c>
      <c r="C355" s="74">
        <v>257.89015151206064</v>
      </c>
    </row>
    <row r="356" spans="1:3" x14ac:dyDescent="0.25">
      <c r="A356" s="74">
        <v>354</v>
      </c>
      <c r="B356" s="74">
        <v>145.8873744162313</v>
      </c>
      <c r="C356" s="74">
        <v>257.85439474418285</v>
      </c>
    </row>
    <row r="357" spans="1:3" x14ac:dyDescent="0.25">
      <c r="A357" s="74">
        <v>355</v>
      </c>
      <c r="B357" s="74">
        <v>145.81755818770512</v>
      </c>
      <c r="C357" s="74">
        <v>257.81833373497034</v>
      </c>
    </row>
    <row r="358" spans="1:3" x14ac:dyDescent="0.25">
      <c r="A358" s="74">
        <v>356</v>
      </c>
      <c r="B358" s="74">
        <v>145.74712871035251</v>
      </c>
      <c r="C358" s="74">
        <v>257.78196835674242</v>
      </c>
    </row>
    <row r="359" spans="1:3" x14ac:dyDescent="0.25">
      <c r="A359" s="74">
        <v>357</v>
      </c>
      <c r="B359" s="74">
        <v>145.67608509471802</v>
      </c>
      <c r="C359" s="74">
        <v>257.74529848066851</v>
      </c>
    </row>
    <row r="360" spans="1:3" x14ac:dyDescent="0.25">
      <c r="A360" s="74">
        <v>358</v>
      </c>
      <c r="B360" s="74">
        <v>145.60442644184678</v>
      </c>
      <c r="C360" s="74">
        <v>257.7083239767656</v>
      </c>
    </row>
    <row r="361" spans="1:3" x14ac:dyDescent="0.25">
      <c r="A361" s="74">
        <v>359</v>
      </c>
      <c r="B361" s="74">
        <v>145.53215184322323</v>
      </c>
      <c r="C361" s="74">
        <v>257.67104471389604</v>
      </c>
    </row>
    <row r="362" spans="1:3" x14ac:dyDescent="0.25">
      <c r="A362" s="74">
        <v>360</v>
      </c>
      <c r="B362" s="74">
        <v>145.45926038070925</v>
      </c>
      <c r="C362" s="74">
        <v>257.63346055976501</v>
      </c>
    </row>
    <row r="363" spans="1:3" x14ac:dyDescent="0.25">
      <c r="A363" s="74">
        <v>361</v>
      </c>
      <c r="B363" s="74">
        <v>145.38575112648124</v>
      </c>
      <c r="C363" s="74">
        <v>257.59557138091822</v>
      </c>
    </row>
    <row r="364" spans="1:3" x14ac:dyDescent="0.25">
      <c r="A364" s="74">
        <v>362</v>
      </c>
      <c r="B364" s="74">
        <v>145.3116231429664</v>
      </c>
      <c r="C364" s="74">
        <v>257.55737704273935</v>
      </c>
    </row>
    <row r="365" spans="1:3" x14ac:dyDescent="0.25">
      <c r="A365" s="74">
        <v>363</v>
      </c>
      <c r="B365" s="74">
        <v>145.23687548277815</v>
      </c>
      <c r="C365" s="74">
        <v>257.51887740944784</v>
      </c>
    </row>
    <row r="366" spans="1:3" x14ac:dyDescent="0.25">
      <c r="A366" s="74">
        <v>364</v>
      </c>
      <c r="B366" s="74">
        <v>145.16150718865072</v>
      </c>
      <c r="C366" s="74">
        <v>257.48007234409613</v>
      </c>
    </row>
    <row r="367" spans="1:3" x14ac:dyDescent="0.25">
      <c r="A367" s="74">
        <v>365</v>
      </c>
      <c r="B367" s="74">
        <v>145.08551729337273</v>
      </c>
      <c r="C367" s="74">
        <v>257.4409617085675</v>
      </c>
    </row>
    <row r="368" spans="1:3" x14ac:dyDescent="0.25">
      <c r="A368" s="74">
        <v>366</v>
      </c>
      <c r="B368" s="74">
        <v>145.00890481971996</v>
      </c>
      <c r="C368" s="74">
        <v>257.40154536357306</v>
      </c>
    </row>
    <row r="369" spans="1:3" x14ac:dyDescent="0.25">
      <c r="A369" s="74">
        <v>367</v>
      </c>
      <c r="B369" s="74">
        <v>144.93166878038704</v>
      </c>
      <c r="C369" s="74">
        <v>257.36182316864978</v>
      </c>
    </row>
    <row r="370" spans="1:3" x14ac:dyDescent="0.25">
      <c r="A370" s="74">
        <v>368</v>
      </c>
      <c r="B370" s="74">
        <v>144.85380817791852</v>
      </c>
      <c r="C370" s="74">
        <v>257.32179498215754</v>
      </c>
    </row>
    <row r="371" spans="1:3" x14ac:dyDescent="0.25">
      <c r="A371" s="74">
        <v>369</v>
      </c>
      <c r="B371" s="74">
        <v>144.77532200463855</v>
      </c>
      <c r="C371" s="74">
        <v>257.28146066127658</v>
      </c>
    </row>
    <row r="372" spans="1:3" x14ac:dyDescent="0.25">
      <c r="A372" s="74">
        <v>370</v>
      </c>
      <c r="B372" s="74">
        <v>144.69620924258012</v>
      </c>
      <c r="C372" s="74">
        <v>257.24082006200501</v>
      </c>
    </row>
    <row r="373" spans="1:3" x14ac:dyDescent="0.25">
      <c r="A373" s="74">
        <v>371</v>
      </c>
      <c r="B373" s="74">
        <v>144.61646886341282</v>
      </c>
      <c r="C373" s="74">
        <v>257.1998730391561</v>
      </c>
    </row>
    <row r="374" spans="1:3" x14ac:dyDescent="0.25">
      <c r="A374" s="74">
        <v>372</v>
      </c>
      <c r="B374" s="74">
        <v>144.53609982837</v>
      </c>
      <c r="C374" s="74">
        <v>257.15861944635566</v>
      </c>
    </row>
    <row r="375" spans="1:3" x14ac:dyDescent="0.25">
      <c r="A375" s="74">
        <v>373</v>
      </c>
      <c r="B375" s="74">
        <v>144.45510108817481</v>
      </c>
      <c r="C375" s="74">
        <v>257.11705913603907</v>
      </c>
    </row>
    <row r="376" spans="1:3" x14ac:dyDescent="0.25">
      <c r="A376" s="74">
        <v>374</v>
      </c>
      <c r="B376" s="74">
        <v>144.37347158296518</v>
      </c>
      <c r="C376" s="74">
        <v>257.07519195944917</v>
      </c>
    </row>
    <row r="377" spans="1:3" x14ac:dyDescent="0.25">
      <c r="A377" s="74">
        <v>375</v>
      </c>
      <c r="B377" s="74">
        <v>144.29121024221772</v>
      </c>
      <c r="C377" s="74">
        <v>257.0330177666329</v>
      </c>
    </row>
    <row r="378" spans="1:3" x14ac:dyDescent="0.25">
      <c r="A378" s="74">
        <v>376</v>
      </c>
      <c r="B378" s="74">
        <v>144.20831598467083</v>
      </c>
      <c r="C378" s="74">
        <v>256.99053640643876</v>
      </c>
    </row>
    <row r="379" spans="1:3" x14ac:dyDescent="0.25">
      <c r="A379" s="74">
        <v>377</v>
      </c>
      <c r="B379" s="74">
        <v>144.12478771824658</v>
      </c>
      <c r="C379" s="74">
        <v>256.94774772651419</v>
      </c>
    </row>
    <row r="380" spans="1:3" x14ac:dyDescent="0.25">
      <c r="A380" s="74">
        <v>378</v>
      </c>
      <c r="B380" s="74">
        <v>144.04062433997149</v>
      </c>
      <c r="C380" s="74">
        <v>256.90465157330254</v>
      </c>
    </row>
    <row r="381" spans="1:3" x14ac:dyDescent="0.25">
      <c r="A381" s="74">
        <v>379</v>
      </c>
      <c r="B381" s="74">
        <v>143.95582473589633</v>
      </c>
      <c r="C381" s="74">
        <v>256.86124779204033</v>
      </c>
    </row>
    <row r="382" spans="1:3" x14ac:dyDescent="0.25">
      <c r="A382" s="74">
        <v>380</v>
      </c>
      <c r="B382" s="74">
        <v>143.8703877810149</v>
      </c>
      <c r="C382" s="74">
        <v>256.81753622675427</v>
      </c>
    </row>
    <row r="383" spans="1:3" x14ac:dyDescent="0.25">
      <c r="A383" s="74">
        <v>381</v>
      </c>
      <c r="B383" s="74">
        <v>143.78431233918138</v>
      </c>
      <c r="C383" s="74">
        <v>256.7735167202585</v>
      </c>
    </row>
    <row r="384" spans="1:3" x14ac:dyDescent="0.25">
      <c r="A384" s="74">
        <v>382</v>
      </c>
      <c r="B384" s="74">
        <v>143.69759726302703</v>
      </c>
      <c r="C384" s="74">
        <v>256.72918911415172</v>
      </c>
    </row>
    <row r="385" spans="1:3" x14ac:dyDescent="0.25">
      <c r="A385" s="74">
        <v>383</v>
      </c>
      <c r="B385" s="74">
        <v>143.61024139387533</v>
      </c>
      <c r="C385" s="74">
        <v>256.68455324881393</v>
      </c>
    </row>
    <row r="386" spans="1:3" x14ac:dyDescent="0.25">
      <c r="A386" s="74">
        <v>384</v>
      </c>
      <c r="B386" s="74">
        <v>143.5222435616561</v>
      </c>
      <c r="C386" s="74">
        <v>256.63960896340393</v>
      </c>
    </row>
    <row r="387" spans="1:3" x14ac:dyDescent="0.25">
      <c r="A387" s="74">
        <v>385</v>
      </c>
      <c r="B387" s="74">
        <v>143.43360258481869</v>
      </c>
      <c r="C387" s="74">
        <v>256.59435609585591</v>
      </c>
    </row>
    <row r="388" spans="1:3" x14ac:dyDescent="0.25">
      <c r="A388" s="74">
        <v>386</v>
      </c>
      <c r="B388" s="74">
        <v>143.34431727024358</v>
      </c>
      <c r="C388" s="74">
        <v>256.54879448287664</v>
      </c>
    </row>
    <row r="389" spans="1:3" x14ac:dyDescent="0.25">
      <c r="A389" s="74">
        <v>387</v>
      </c>
      <c r="B389" s="74">
        <v>143.25438641315307</v>
      </c>
      <c r="C389" s="74">
        <v>256.50292395994239</v>
      </c>
    </row>
    <row r="390" spans="1:3" x14ac:dyDescent="0.25">
      <c r="A390" s="74">
        <v>388</v>
      </c>
      <c r="B390" s="74">
        <v>143.16380879702061</v>
      </c>
      <c r="C390" s="74">
        <v>256.45674436129588</v>
      </c>
    </row>
    <row r="391" spans="1:3" x14ac:dyDescent="0.25">
      <c r="A391" s="74">
        <v>389</v>
      </c>
      <c r="B391" s="74">
        <v>143.07258319347895</v>
      </c>
      <c r="C391" s="74">
        <v>256.41025551994301</v>
      </c>
    </row>
    <row r="392" spans="1:3" x14ac:dyDescent="0.25">
      <c r="A392" s="74">
        <v>390</v>
      </c>
      <c r="B392" s="74">
        <v>142.98070836222695</v>
      </c>
      <c r="C392" s="74">
        <v>256.36345726765001</v>
      </c>
    </row>
    <row r="393" spans="1:3" x14ac:dyDescent="0.25">
      <c r="A393" s="74">
        <v>391</v>
      </c>
      <c r="B393" s="74">
        <v>142.8881830509354</v>
      </c>
      <c r="C393" s="74">
        <v>256.31634943494009</v>
      </c>
    </row>
    <row r="394" spans="1:3" x14ac:dyDescent="0.25">
      <c r="A394" s="74">
        <v>392</v>
      </c>
      <c r="B394" s="74">
        <v>142.79500599515103</v>
      </c>
      <c r="C394" s="74">
        <v>256.26893185109031</v>
      </c>
    </row>
    <row r="395" spans="1:3" x14ac:dyDescent="0.25">
      <c r="A395" s="74">
        <v>393</v>
      </c>
      <c r="B395" s="74">
        <v>142.70117591819974</v>
      </c>
      <c r="C395" s="74">
        <v>256.2212043441283</v>
      </c>
    </row>
    <row r="396" spans="1:3" x14ac:dyDescent="0.25">
      <c r="A396" s="74">
        <v>394</v>
      </c>
      <c r="B396" s="74">
        <v>142.60669153108819</v>
      </c>
      <c r="C396" s="74">
        <v>256.17316674082923</v>
      </c>
    </row>
    <row r="397" spans="1:3" x14ac:dyDescent="0.25">
      <c r="A397" s="74">
        <v>395</v>
      </c>
      <c r="B397" s="74">
        <v>142.5115515324041</v>
      </c>
      <c r="C397" s="74">
        <v>256.1248188667123</v>
      </c>
    </row>
    <row r="398" spans="1:3" x14ac:dyDescent="0.25">
      <c r="A398" s="74">
        <v>396</v>
      </c>
      <c r="B398" s="74">
        <v>142.4157546082152</v>
      </c>
      <c r="C398" s="74">
        <v>256.07616054603756</v>
      </c>
    </row>
    <row r="399" spans="1:3" x14ac:dyDescent="0.25">
      <c r="A399" s="74">
        <v>397</v>
      </c>
      <c r="B399" s="74">
        <v>142.31929943196687</v>
      </c>
      <c r="C399" s="74">
        <v>256.02719160180266</v>
      </c>
    </row>
    <row r="400" spans="1:3" x14ac:dyDescent="0.25">
      <c r="A400" s="74">
        <v>398</v>
      </c>
      <c r="B400" s="74">
        <v>142.2221846643782</v>
      </c>
      <c r="C400" s="74">
        <v>255.97791185573939</v>
      </c>
    </row>
    <row r="401" spans="1:3" x14ac:dyDescent="0.25">
      <c r="A401" s="74">
        <v>399</v>
      </c>
      <c r="B401" s="74">
        <v>142.12440895333677</v>
      </c>
      <c r="C401" s="74">
        <v>255.92832112831036</v>
      </c>
    </row>
    <row r="402" spans="1:3" x14ac:dyDescent="0.25">
      <c r="A402" s="74">
        <v>400</v>
      </c>
      <c r="B402" s="74">
        <v>142.02597093379194</v>
      </c>
      <c r="C402" s="74">
        <v>255.87841923870556</v>
      </c>
    </row>
    <row r="403" spans="1:3" x14ac:dyDescent="0.25">
      <c r="A403" s="74">
        <v>401</v>
      </c>
      <c r="B403" s="74">
        <v>141.92686922764656</v>
      </c>
      <c r="C403" s="74">
        <v>255.82820600483896</v>
      </c>
    </row>
    <row r="404" spans="1:3" x14ac:dyDescent="0.25">
      <c r="A404" s="74">
        <v>402</v>
      </c>
      <c r="B404" s="74">
        <v>141.82710244364736</v>
      </c>
      <c r="C404" s="74">
        <v>255.77768124334503</v>
      </c>
    </row>
    <row r="405" spans="1:3" x14ac:dyDescent="0.25">
      <c r="A405" s="74">
        <v>403</v>
      </c>
      <c r="B405" s="74">
        <v>141.72666917727366</v>
      </c>
      <c r="C405" s="74">
        <v>255.72684476957531</v>
      </c>
    </row>
    <row r="406" spans="1:3" x14ac:dyDescent="0.25">
      <c r="A406" s="74">
        <v>404</v>
      </c>
      <c r="B406" s="74">
        <v>141.62556801062465</v>
      </c>
      <c r="C406" s="74">
        <v>255.67569639759478</v>
      </c>
    </row>
    <row r="407" spans="1:3" x14ac:dyDescent="0.25">
      <c r="A407" s="74">
        <v>405</v>
      </c>
      <c r="B407" s="74">
        <v>141.52379751230515</v>
      </c>
      <c r="C407" s="74">
        <v>255.62423594017841</v>
      </c>
    </row>
    <row r="408" spans="1:3" x14ac:dyDescent="0.25">
      <c r="A408" s="74">
        <v>406</v>
      </c>
      <c r="B408" s="74">
        <v>141.42135623730951</v>
      </c>
      <c r="C408" s="74">
        <v>255.57246320880753</v>
      </c>
    </row>
    <row r="409" spans="1:3" x14ac:dyDescent="0.25">
      <c r="A409" s="74">
        <v>407</v>
      </c>
      <c r="B409" s="74">
        <v>141.31824272690426</v>
      </c>
      <c r="C409" s="74">
        <v>255.52037801366629</v>
      </c>
    </row>
    <row r="410" spans="1:3" x14ac:dyDescent="0.25">
      <c r="A410" s="74">
        <v>408</v>
      </c>
      <c r="B410" s="74">
        <v>141.21445550850885</v>
      </c>
      <c r="C410" s="74">
        <v>255.46798016363789</v>
      </c>
    </row>
    <row r="411" spans="1:3" x14ac:dyDescent="0.25">
      <c r="A411" s="74">
        <v>409</v>
      </c>
      <c r="B411" s="74">
        <v>141.10999309557494</v>
      </c>
      <c r="C411" s="74">
        <v>255.41526946630114</v>
      </c>
    </row>
    <row r="412" spans="1:3" x14ac:dyDescent="0.25">
      <c r="A412" s="74">
        <v>410</v>
      </c>
      <c r="B412" s="74">
        <v>141.00485398746372</v>
      </c>
      <c r="C412" s="74">
        <v>255.36224572792642</v>
      </c>
    </row>
    <row r="413" spans="1:3" x14ac:dyDescent="0.25">
      <c r="A413" s="74">
        <v>411</v>
      </c>
      <c r="B413" s="74">
        <v>140.89903666932179</v>
      </c>
      <c r="C413" s="74">
        <v>255.30890875347239</v>
      </c>
    </row>
    <row r="414" spans="1:3" x14ac:dyDescent="0.25">
      <c r="A414" s="74">
        <v>412</v>
      </c>
      <c r="B414" s="74">
        <v>140.79253961195528</v>
      </c>
      <c r="C414" s="74">
        <v>255.25525834658188</v>
      </c>
    </row>
    <row r="415" spans="1:3" x14ac:dyDescent="0.25">
      <c r="A415" s="74">
        <v>413</v>
      </c>
      <c r="B415" s="74">
        <v>140.68536127170185</v>
      </c>
      <c r="C415" s="74">
        <v>255.2012943095782</v>
      </c>
    </row>
    <row r="416" spans="1:3" x14ac:dyDescent="0.25">
      <c r="A416" s="74">
        <v>414</v>
      </c>
      <c r="B416" s="74">
        <v>140.57750009030153</v>
      </c>
      <c r="C416" s="74">
        <v>255.14701644346147</v>
      </c>
    </row>
    <row r="417" spans="1:3" x14ac:dyDescent="0.25">
      <c r="A417" s="74">
        <v>415</v>
      </c>
      <c r="B417" s="74">
        <v>140.46895449476497</v>
      </c>
      <c r="C417" s="74">
        <v>255.09242454790459</v>
      </c>
    </row>
    <row r="418" spans="1:3" x14ac:dyDescent="0.25">
      <c r="A418" s="74">
        <v>416</v>
      </c>
      <c r="B418" s="74">
        <v>140.35972289724057</v>
      </c>
      <c r="C418" s="74">
        <v>255.03751842124942</v>
      </c>
    </row>
    <row r="419" spans="1:3" x14ac:dyDescent="0.25">
      <c r="A419" s="74">
        <v>417</v>
      </c>
      <c r="B419" s="74">
        <v>140.24980369487915</v>
      </c>
      <c r="C419" s="74">
        <v>254.98229786050288</v>
      </c>
    </row>
    <row r="420" spans="1:3" x14ac:dyDescent="0.25">
      <c r="A420" s="74">
        <v>418</v>
      </c>
      <c r="B420" s="74">
        <v>140.1391952696971</v>
      </c>
      <c r="C420" s="74">
        <v>254.92676266133307</v>
      </c>
    </row>
    <row r="421" spans="1:3" x14ac:dyDescent="0.25">
      <c r="A421" s="74">
        <v>419</v>
      </c>
      <c r="B421" s="74">
        <v>140.02789598843734</v>
      </c>
      <c r="C421" s="74">
        <v>254.87091261806523</v>
      </c>
    </row>
    <row r="422" spans="1:3" x14ac:dyDescent="0.25">
      <c r="A422" s="74">
        <v>420</v>
      </c>
      <c r="B422" s="74">
        <v>139.91590420242844</v>
      </c>
      <c r="C422" s="74">
        <v>254.8147475236776</v>
      </c>
    </row>
    <row r="423" spans="1:3" x14ac:dyDescent="0.25">
      <c r="A423" s="74">
        <v>421</v>
      </c>
      <c r="B423" s="74">
        <v>139.80321824744166</v>
      </c>
      <c r="C423" s="74">
        <v>254.7582671697977</v>
      </c>
    </row>
    <row r="424" spans="1:3" x14ac:dyDescent="0.25">
      <c r="A424" s="74">
        <v>422</v>
      </c>
      <c r="B424" s="74">
        <v>139.68983644354611</v>
      </c>
      <c r="C424" s="74">
        <v>254.70147134669804</v>
      </c>
    </row>
    <row r="425" spans="1:3" x14ac:dyDescent="0.25">
      <c r="A425" s="74">
        <v>423</v>
      </c>
      <c r="B425" s="74">
        <v>139.57575709496149</v>
      </c>
      <c r="C425" s="74">
        <v>254.64435984329202</v>
      </c>
    </row>
    <row r="426" spans="1:3" x14ac:dyDescent="0.25">
      <c r="A426" s="74">
        <v>424</v>
      </c>
      <c r="B426" s="74">
        <v>139.46097848990914</v>
      </c>
      <c r="C426" s="74">
        <v>254.58693244712995</v>
      </c>
    </row>
    <row r="427" spans="1:3" x14ac:dyDescent="0.25">
      <c r="A427" s="74">
        <v>425</v>
      </c>
      <c r="B427" s="74">
        <v>139.34549890046065</v>
      </c>
      <c r="C427" s="74">
        <v>254.52918894439466</v>
      </c>
    </row>
    <row r="428" spans="1:3" x14ac:dyDescent="0.25">
      <c r="A428" s="74">
        <v>426</v>
      </c>
      <c r="B428" s="74">
        <v>139.22931658238446</v>
      </c>
      <c r="C428" s="74">
        <v>254.47112911989751</v>
      </c>
    </row>
    <row r="429" spans="1:3" x14ac:dyDescent="0.25">
      <c r="A429" s="74">
        <v>427</v>
      </c>
      <c r="B429" s="74">
        <v>139.11242977499015</v>
      </c>
      <c r="C429" s="74">
        <v>254.41275275707406</v>
      </c>
    </row>
    <row r="430" spans="1:3" x14ac:dyDescent="0.25">
      <c r="A430" s="74">
        <v>428</v>
      </c>
      <c r="B430" s="74">
        <v>138.99483670097055</v>
      </c>
      <c r="C430" s="74">
        <v>254.35405963797982</v>
      </c>
    </row>
    <row r="431" spans="1:3" x14ac:dyDescent="0.25">
      <c r="A431" s="74">
        <v>429</v>
      </c>
      <c r="B431" s="74">
        <v>138.87653556624156</v>
      </c>
      <c r="C431" s="74">
        <v>254.29504954328587</v>
      </c>
    </row>
    <row r="432" spans="1:3" x14ac:dyDescent="0.25">
      <c r="A432" s="74">
        <v>430</v>
      </c>
      <c r="B432" s="74">
        <v>138.75752455977951</v>
      </c>
      <c r="C432" s="74">
        <v>254.2357222522748</v>
      </c>
    </row>
    <row r="433" spans="1:3" x14ac:dyDescent="0.25">
      <c r="A433" s="74">
        <v>431</v>
      </c>
      <c r="B433" s="74">
        <v>138.63780185345644</v>
      </c>
      <c r="C433" s="74">
        <v>254.17607754283588</v>
      </c>
    </row>
    <row r="434" spans="1:3" x14ac:dyDescent="0.25">
      <c r="A434" s="74">
        <v>432</v>
      </c>
      <c r="B434" s="74">
        <v>138.51736560187265</v>
      </c>
      <c r="C434" s="74">
        <v>254.11611519146123</v>
      </c>
    </row>
    <row r="435" spans="1:3" x14ac:dyDescent="0.25">
      <c r="A435" s="74">
        <v>433</v>
      </c>
      <c r="B435" s="74">
        <v>138.39621394218716</v>
      </c>
      <c r="C435" s="74">
        <v>254.05583497324091</v>
      </c>
    </row>
    <row r="436" spans="1:3" x14ac:dyDescent="0.25">
      <c r="A436" s="74">
        <v>434</v>
      </c>
      <c r="B436" s="74">
        <v>138.27434499394528</v>
      </c>
      <c r="C436" s="74">
        <v>253.99523666185863</v>
      </c>
    </row>
    <row r="437" spans="1:3" x14ac:dyDescent="0.25">
      <c r="A437" s="74">
        <v>435</v>
      </c>
      <c r="B437" s="74">
        <v>138.15175685890401</v>
      </c>
      <c r="C437" s="74">
        <v>253.93432002958738</v>
      </c>
    </row>
    <row r="438" spans="1:3" x14ac:dyDescent="0.25">
      <c r="A438" s="74">
        <v>436</v>
      </c>
      <c r="B438" s="74">
        <v>138.02844762085473</v>
      </c>
      <c r="C438" s="74">
        <v>253.87308484728456</v>
      </c>
    </row>
    <row r="439" spans="1:3" x14ac:dyDescent="0.25">
      <c r="A439" s="74">
        <v>437</v>
      </c>
      <c r="B439" s="74">
        <v>137.90441534544325</v>
      </c>
      <c r="C439" s="74">
        <v>253.81153088438779</v>
      </c>
    </row>
    <row r="440" spans="1:3" x14ac:dyDescent="0.25">
      <c r="A440" s="74">
        <v>438</v>
      </c>
      <c r="B440" s="74">
        <v>137.7796580799872</v>
      </c>
      <c r="C440" s="74">
        <v>253.74965790891008</v>
      </c>
    </row>
    <row r="441" spans="1:3" x14ac:dyDescent="0.25">
      <c r="A441" s="74">
        <v>439</v>
      </c>
      <c r="B441" s="74">
        <v>137.65417385329084</v>
      </c>
      <c r="C441" s="74">
        <v>253.68746568743512</v>
      </c>
    </row>
    <row r="442" spans="1:3" x14ac:dyDescent="0.25">
      <c r="A442" s="74">
        <v>440</v>
      </c>
      <c r="B442" s="74">
        <v>137.52796067545691</v>
      </c>
      <c r="C442" s="74">
        <v>253.62495398511285</v>
      </c>
    </row>
    <row r="443" spans="1:3" x14ac:dyDescent="0.25">
      <c r="A443" s="74">
        <v>441</v>
      </c>
      <c r="B443" s="74">
        <v>137.40101653769599</v>
      </c>
      <c r="C443" s="74">
        <v>253.56212256565451</v>
      </c>
    </row>
    <row r="444" spans="1:3" x14ac:dyDescent="0.25">
      <c r="A444" s="74">
        <v>442</v>
      </c>
      <c r="B444" s="74">
        <v>137.27333941213266</v>
      </c>
      <c r="C444" s="74">
        <v>253.49897119132797</v>
      </c>
    </row>
    <row r="445" spans="1:3" x14ac:dyDescent="0.25">
      <c r="A445" s="74">
        <v>443</v>
      </c>
      <c r="B445" s="74">
        <v>137.14492725160895</v>
      </c>
      <c r="C445" s="74">
        <v>253.43549962295299</v>
      </c>
    </row>
    <row r="446" spans="1:3" x14ac:dyDescent="0.25">
      <c r="A446" s="74">
        <v>444</v>
      </c>
      <c r="B446" s="74">
        <v>137.01577798948492</v>
      </c>
      <c r="C446" s="74">
        <v>253.37170761989631</v>
      </c>
    </row>
    <row r="447" spans="1:3" x14ac:dyDescent="0.25">
      <c r="A447" s="74">
        <v>445</v>
      </c>
      <c r="B447" s="74">
        <v>136.88588953943611</v>
      </c>
      <c r="C447" s="74">
        <v>253.30759494006685</v>
      </c>
    </row>
    <row r="448" spans="1:3" x14ac:dyDescent="0.25">
      <c r="A448" s="74">
        <v>446</v>
      </c>
      <c r="B448" s="74">
        <v>136.75525979524798</v>
      </c>
      <c r="C448" s="74">
        <v>253.24316133991081</v>
      </c>
    </row>
    <row r="449" spans="1:3" x14ac:dyDescent="0.25">
      <c r="A449" s="74">
        <v>447</v>
      </c>
      <c r="B449" s="74">
        <v>136.62388663060719</v>
      </c>
      <c r="C449" s="74">
        <v>253.17840657440664</v>
      </c>
    </row>
    <row r="450" spans="1:3" x14ac:dyDescent="0.25">
      <c r="A450" s="74">
        <v>448</v>
      </c>
      <c r="B450" s="74">
        <v>136.49176789888983</v>
      </c>
      <c r="C450" s="74">
        <v>253.1133303970602</v>
      </c>
    </row>
    <row r="451" spans="1:3" x14ac:dyDescent="0.25">
      <c r="A451" s="74">
        <v>449</v>
      </c>
      <c r="B451" s="74">
        <v>136.35890143294642</v>
      </c>
      <c r="C451" s="74">
        <v>253.04793255989964</v>
      </c>
    </row>
    <row r="452" spans="1:3" x14ac:dyDescent="0.25">
      <c r="A452" s="74">
        <v>450</v>
      </c>
      <c r="B452" s="74">
        <v>136.22528504488349</v>
      </c>
      <c r="C452" s="74">
        <v>252.98221281347034</v>
      </c>
    </row>
    <row r="453" spans="1:3" x14ac:dyDescent="0.25">
      <c r="A453" s="74">
        <v>451</v>
      </c>
      <c r="B453" s="74">
        <v>136.09091652584203</v>
      </c>
      <c r="C453" s="74">
        <v>252.91617090682999</v>
      </c>
    </row>
    <row r="454" spans="1:3" x14ac:dyDescent="0.25">
      <c r="A454" s="74">
        <v>452</v>
      </c>
      <c r="B454" s="74">
        <v>135.95579364577227</v>
      </c>
      <c r="C454" s="74">
        <v>252.84980658754324</v>
      </c>
    </row>
    <row r="455" spans="1:3" x14ac:dyDescent="0.25">
      <c r="A455" s="74">
        <v>453</v>
      </c>
      <c r="B455" s="74">
        <v>135.81991415320545</v>
      </c>
      <c r="C455" s="74">
        <v>252.78311960167665</v>
      </c>
    </row>
    <row r="456" spans="1:3" x14ac:dyDescent="0.25">
      <c r="A456" s="74">
        <v>454</v>
      </c>
      <c r="B456" s="74">
        <v>135.68327577502157</v>
      </c>
      <c r="C456" s="74">
        <v>252.71610969379344</v>
      </c>
    </row>
    <row r="457" spans="1:3" x14ac:dyDescent="0.25">
      <c r="A457" s="74">
        <v>455</v>
      </c>
      <c r="B457" s="74">
        <v>135.54587621621397</v>
      </c>
      <c r="C457" s="74">
        <v>252.64877660694827</v>
      </c>
    </row>
    <row r="458" spans="1:3" x14ac:dyDescent="0.25">
      <c r="A458" s="74">
        <v>456</v>
      </c>
      <c r="B458" s="74">
        <v>135.40771315964986</v>
      </c>
      <c r="C458" s="74">
        <v>252.58112008268199</v>
      </c>
    </row>
    <row r="459" spans="1:3" x14ac:dyDescent="0.25">
      <c r="A459" s="74">
        <v>457</v>
      </c>
      <c r="B459" s="74">
        <v>135.26878426582758</v>
      </c>
      <c r="C459" s="74">
        <v>252.51313986101621</v>
      </c>
    </row>
    <row r="460" spans="1:3" x14ac:dyDescent="0.25">
      <c r="A460" s="74">
        <v>458</v>
      </c>
      <c r="B460" s="74">
        <v>135.12908717262974</v>
      </c>
      <c r="C460" s="74">
        <v>252.44483568044799</v>
      </c>
    </row>
    <row r="461" spans="1:3" x14ac:dyDescent="0.25">
      <c r="A461" s="74">
        <v>459</v>
      </c>
      <c r="B461" s="74">
        <v>134.98861949507264</v>
      </c>
      <c r="C461" s="74">
        <v>252.3762072779445</v>
      </c>
    </row>
    <row r="462" spans="1:3" x14ac:dyDescent="0.25">
      <c r="A462" s="74">
        <v>460</v>
      </c>
      <c r="B462" s="74">
        <v>134.84737882505178</v>
      </c>
      <c r="C462" s="74">
        <v>252.30725438893737</v>
      </c>
    </row>
    <row r="463" spans="1:3" x14ac:dyDescent="0.25">
      <c r="A463" s="74">
        <v>461</v>
      </c>
      <c r="B463" s="74">
        <v>134.70536273108323</v>
      </c>
      <c r="C463" s="74">
        <v>252.23797674731742</v>
      </c>
    </row>
    <row r="464" spans="1:3" x14ac:dyDescent="0.25">
      <c r="A464" s="74">
        <v>462</v>
      </c>
      <c r="B464" s="74">
        <v>134.56256875804124</v>
      </c>
      <c r="C464" s="74">
        <v>252.16837408542906</v>
      </c>
    </row>
    <row r="465" spans="1:3" x14ac:dyDescent="0.25">
      <c r="A465" s="74">
        <v>463</v>
      </c>
      <c r="B465" s="74">
        <v>134.41899442689123</v>
      </c>
      <c r="C465" s="74">
        <v>252.09844613406463</v>
      </c>
    </row>
    <row r="466" spans="1:3" x14ac:dyDescent="0.25">
      <c r="A466" s="74">
        <v>464</v>
      </c>
      <c r="B466" s="74">
        <v>134.27463723441903</v>
      </c>
      <c r="C466" s="74">
        <v>252.02819262245882</v>
      </c>
    </row>
    <row r="467" spans="1:3" x14ac:dyDescent="0.25">
      <c r="A467" s="74">
        <v>465</v>
      </c>
      <c r="B467" s="74">
        <v>134.12949465295551</v>
      </c>
      <c r="C467" s="74">
        <v>251.95761327828316</v>
      </c>
    </row>
    <row r="468" spans="1:3" x14ac:dyDescent="0.25">
      <c r="A468" s="74">
        <v>466</v>
      </c>
      <c r="B468" s="74">
        <v>133.98356413009688</v>
      </c>
      <c r="C468" s="74">
        <v>251.88670782764007</v>
      </c>
    </row>
    <row r="469" spans="1:3" x14ac:dyDescent="0.25">
      <c r="A469" s="74">
        <v>467</v>
      </c>
      <c r="B469" s="74">
        <v>133.83684308842064</v>
      </c>
      <c r="C469" s="74">
        <v>251.81547599505731</v>
      </c>
    </row>
    <row r="470" spans="1:3" x14ac:dyDescent="0.25">
      <c r="A470" s="74">
        <v>468</v>
      </c>
      <c r="B470" s="74">
        <v>133.68932892519672</v>
      </c>
      <c r="C470" s="74">
        <v>251.74391750348209</v>
      </c>
    </row>
    <row r="471" spans="1:3" x14ac:dyDescent="0.25">
      <c r="A471" s="74">
        <v>469</v>
      </c>
      <c r="B471" s="74">
        <v>133.5410190120943</v>
      </c>
      <c r="C471" s="74">
        <v>251.67203207427534</v>
      </c>
    </row>
    <row r="472" spans="1:3" x14ac:dyDescent="0.25">
      <c r="A472" s="74">
        <v>470</v>
      </c>
      <c r="B472" s="74">
        <v>133.39191069488359</v>
      </c>
      <c r="C472" s="74">
        <v>251.5998194272056</v>
      </c>
    </row>
    <row r="473" spans="1:3" x14ac:dyDescent="0.25">
      <c r="A473" s="74">
        <v>471</v>
      </c>
      <c r="B473" s="74">
        <v>133.24200129313297</v>
      </c>
      <c r="C473" s="74">
        <v>251.52727928044348</v>
      </c>
    </row>
    <row r="474" spans="1:3" x14ac:dyDescent="0.25">
      <c r="A474" s="74">
        <v>472</v>
      </c>
      <c r="B474" s="74">
        <v>133.09128809990105</v>
      </c>
      <c r="C474" s="74">
        <v>251.45441135055538</v>
      </c>
    </row>
    <row r="475" spans="1:3" x14ac:dyDescent="0.25">
      <c r="A475" s="74">
        <v>473</v>
      </c>
      <c r="B475" s="74">
        <v>132.93976838142399</v>
      </c>
      <c r="C475" s="74">
        <v>251.38121535249758</v>
      </c>
    </row>
    <row r="476" spans="1:3" x14ac:dyDescent="0.25">
      <c r="A476" s="74">
        <v>474</v>
      </c>
      <c r="B476" s="74">
        <v>132.78743937679729</v>
      </c>
      <c r="C476" s="74">
        <v>251.30769099961017</v>
      </c>
    </row>
    <row r="477" spans="1:3" x14ac:dyDescent="0.25">
      <c r="A477" s="74">
        <v>475</v>
      </c>
      <c r="B477" s="74">
        <v>132.63429829765286</v>
      </c>
      <c r="C477" s="74">
        <v>251.23383800361106</v>
      </c>
    </row>
    <row r="478" spans="1:3" x14ac:dyDescent="0.25">
      <c r="A478" s="74">
        <v>476</v>
      </c>
      <c r="B478" s="74">
        <v>132.48034232783021</v>
      </c>
      <c r="C478" s="74">
        <v>251.15965607458969</v>
      </c>
    </row>
    <row r="479" spans="1:3" x14ac:dyDescent="0.25">
      <c r="A479" s="74">
        <v>477</v>
      </c>
      <c r="B479" s="74">
        <v>132.32556862304267</v>
      </c>
      <c r="C479" s="74">
        <v>251.08514492100085</v>
      </c>
    </row>
    <row r="480" spans="1:3" x14ac:dyDescent="0.25">
      <c r="A480" s="74">
        <v>478</v>
      </c>
      <c r="B480" s="74">
        <v>132.16997431053787</v>
      </c>
      <c r="C480" s="74">
        <v>251.01030424965859</v>
      </c>
    </row>
    <row r="481" spans="1:3" x14ac:dyDescent="0.25">
      <c r="A481" s="74">
        <v>479</v>
      </c>
      <c r="B481" s="74">
        <v>132.01355648875264</v>
      </c>
      <c r="C481" s="74">
        <v>250.93513376572977</v>
      </c>
    </row>
    <row r="482" spans="1:3" x14ac:dyDescent="0.25">
      <c r="A482" s="74">
        <v>480</v>
      </c>
      <c r="B482" s="74">
        <v>131.85631222696205</v>
      </c>
      <c r="C482" s="74">
        <v>250.85963317272783</v>
      </c>
    </row>
    <row r="483" spans="1:3" x14ac:dyDescent="0.25">
      <c r="A483" s="74">
        <v>481</v>
      </c>
      <c r="B483" s="74">
        <v>131.69823856492272</v>
      </c>
      <c r="C483" s="74">
        <v>250.78380217250628</v>
      </c>
    </row>
    <row r="484" spans="1:3" x14ac:dyDescent="0.25">
      <c r="A484" s="74">
        <v>482</v>
      </c>
      <c r="B484" s="74">
        <v>131.53933251250999</v>
      </c>
      <c r="C484" s="74">
        <v>250.7076404652525</v>
      </c>
    </row>
    <row r="485" spans="1:3" x14ac:dyDescent="0.25">
      <c r="A485" s="74">
        <v>483</v>
      </c>
      <c r="B485" s="74">
        <v>131.3795910493491</v>
      </c>
      <c r="C485" s="74">
        <v>250.6311477494811</v>
      </c>
    </row>
    <row r="486" spans="1:3" x14ac:dyDescent="0.25">
      <c r="A486" s="74">
        <v>484</v>
      </c>
      <c r="B486" s="74">
        <v>131.21901112444007</v>
      </c>
      <c r="C486" s="74">
        <v>250.55432372202733</v>
      </c>
    </row>
    <row r="487" spans="1:3" x14ac:dyDescent="0.25">
      <c r="A487" s="74">
        <v>485</v>
      </c>
      <c r="B487" s="74">
        <v>131.05758965577624</v>
      </c>
      <c r="C487" s="74">
        <v>250.47716807804073</v>
      </c>
    </row>
    <row r="488" spans="1:3" x14ac:dyDescent="0.25">
      <c r="A488" s="74">
        <v>486</v>
      </c>
      <c r="B488" s="74">
        <v>130.89532352995619</v>
      </c>
      <c r="C488" s="74">
        <v>250.3996805109783</v>
      </c>
    </row>
    <row r="489" spans="1:3" x14ac:dyDescent="0.25">
      <c r="A489" s="74">
        <v>487</v>
      </c>
      <c r="B489" s="74">
        <v>130.73220960178921</v>
      </c>
      <c r="C489" s="74">
        <v>250.32186071259792</v>
      </c>
    </row>
    <row r="490" spans="1:3" x14ac:dyDescent="0.25">
      <c r="A490" s="74">
        <v>488</v>
      </c>
      <c r="B490" s="74">
        <v>130.56824469389394</v>
      </c>
      <c r="C490" s="74">
        <v>250.24370837295172</v>
      </c>
    </row>
    <row r="491" spans="1:3" x14ac:dyDescent="0.25">
      <c r="A491" s="74">
        <v>489</v>
      </c>
      <c r="B491" s="74">
        <v>130.40342559629008</v>
      </c>
      <c r="C491" s="74">
        <v>250.16522318037912</v>
      </c>
    </row>
    <row r="492" spans="1:3" x14ac:dyDescent="0.25">
      <c r="A492" s="74">
        <v>490</v>
      </c>
      <c r="B492" s="74">
        <v>130.23774906598291</v>
      </c>
      <c r="C492" s="74">
        <v>250.08640482150005</v>
      </c>
    </row>
    <row r="493" spans="1:3" x14ac:dyDescent="0.25">
      <c r="A493" s="74">
        <v>491</v>
      </c>
      <c r="B493" s="74">
        <v>130.07121182654092</v>
      </c>
      <c r="C493" s="74">
        <v>250.00725298120827</v>
      </c>
    </row>
    <row r="494" spans="1:3" x14ac:dyDescent="0.25">
      <c r="A494" s="74">
        <v>492</v>
      </c>
      <c r="B494" s="74">
        <v>129.9038105676658</v>
      </c>
      <c r="C494" s="74">
        <v>249.9277673426642</v>
      </c>
    </row>
    <row r="495" spans="1:3" x14ac:dyDescent="0.25">
      <c r="A495" s="74">
        <v>493</v>
      </c>
      <c r="B495" s="74">
        <v>129.73554194475506</v>
      </c>
      <c r="C495" s="74">
        <v>249.84794758728808</v>
      </c>
    </row>
    <row r="496" spans="1:3" x14ac:dyDescent="0.25">
      <c r="A496" s="74">
        <v>494</v>
      </c>
      <c r="B496" s="74">
        <v>129.56640257845692</v>
      </c>
      <c r="C496" s="74">
        <v>249.76779339475286</v>
      </c>
    </row>
    <row r="497" spans="1:3" x14ac:dyDescent="0.25">
      <c r="A497" s="74">
        <v>495</v>
      </c>
      <c r="B497" s="74">
        <v>129.39638905421751</v>
      </c>
      <c r="C497" s="74">
        <v>249.68730444297722</v>
      </c>
    </row>
    <row r="498" spans="1:3" x14ac:dyDescent="0.25">
      <c r="A498" s="74">
        <v>496</v>
      </c>
      <c r="B498" s="74">
        <v>129.22549792181974</v>
      </c>
      <c r="C498" s="74">
        <v>249.60648040811839</v>
      </c>
    </row>
    <row r="499" spans="1:3" x14ac:dyDescent="0.25">
      <c r="A499" s="74">
        <v>497</v>
      </c>
      <c r="B499" s="74">
        <v>129.0537256949145</v>
      </c>
      <c r="C499" s="74">
        <v>249.52532096456491</v>
      </c>
    </row>
    <row r="500" spans="1:3" x14ac:dyDescent="0.25">
      <c r="A500" s="74">
        <v>498</v>
      </c>
      <c r="B500" s="74">
        <v>128.88106885054302</v>
      </c>
      <c r="C500" s="74">
        <v>249.44382578492943</v>
      </c>
    </row>
    <row r="501" spans="1:3" x14ac:dyDescent="0.25">
      <c r="A501" s="74">
        <v>499</v>
      </c>
      <c r="B501" s="74">
        <v>128.70752382865098</v>
      </c>
      <c r="C501" s="74">
        <v>249.36199454004145</v>
      </c>
    </row>
    <row r="502" spans="1:3" x14ac:dyDescent="0.25">
      <c r="A502" s="74">
        <v>500</v>
      </c>
      <c r="B502" s="74">
        <v>128.53308703159388</v>
      </c>
      <c r="C502" s="74">
        <v>249.27982689893989</v>
      </c>
    </row>
    <row r="503" spans="1:3" x14ac:dyDescent="0.25">
      <c r="A503" s="74">
        <v>501</v>
      </c>
      <c r="B503" s="74">
        <v>128.3577548236334</v>
      </c>
      <c r="C503" s="74">
        <v>249.19732252886575</v>
      </c>
    </row>
    <row r="504" spans="1:3" x14ac:dyDescent="0.25">
      <c r="A504" s="74">
        <v>502</v>
      </c>
      <c r="B504" s="74">
        <v>128.18152353042481</v>
      </c>
      <c r="C504" s="74">
        <v>249.11448109525475</v>
      </c>
    </row>
    <row r="505" spans="1:3" x14ac:dyDescent="0.25">
      <c r="A505" s="74">
        <v>503</v>
      </c>
      <c r="B505" s="74">
        <v>128.00438943849505</v>
      </c>
      <c r="C505" s="74">
        <v>249.03130226172942</v>
      </c>
    </row>
    <row r="506" spans="1:3" x14ac:dyDescent="0.25">
      <c r="A506" s="74">
        <v>504</v>
      </c>
      <c r="B506" s="74">
        <v>127.82634879471105</v>
      </c>
      <c r="C506" s="74">
        <v>248.94778569009205</v>
      </c>
    </row>
    <row r="507" spans="1:3" x14ac:dyDescent="0.25">
      <c r="A507" s="74">
        <v>505</v>
      </c>
      <c r="B507" s="74">
        <v>127.64739780573879</v>
      </c>
      <c r="C507" s="74">
        <v>248.86393104031671</v>
      </c>
    </row>
    <row r="508" spans="1:3" x14ac:dyDescent="0.25">
      <c r="A508" s="74">
        <v>506</v>
      </c>
      <c r="B508" s="74">
        <v>127.46753263749206</v>
      </c>
      <c r="C508" s="74">
        <v>248.77973797054162</v>
      </c>
    </row>
    <row r="509" spans="1:3" x14ac:dyDescent="0.25">
      <c r="A509" s="74">
        <v>507</v>
      </c>
      <c r="B509" s="74">
        <v>127.28674941457125</v>
      </c>
      <c r="C509" s="74">
        <v>248.6952061370616</v>
      </c>
    </row>
    <row r="510" spans="1:3" x14ac:dyDescent="0.25">
      <c r="A510" s="74">
        <v>508</v>
      </c>
      <c r="B510" s="74">
        <v>127.10504421969168</v>
      </c>
      <c r="C510" s="74">
        <v>248.6103351943199</v>
      </c>
    </row>
    <row r="511" spans="1:3" x14ac:dyDescent="0.25">
      <c r="A511" s="74">
        <v>509</v>
      </c>
      <c r="B511" s="74">
        <v>126.9224130931014</v>
      </c>
      <c r="C511" s="74">
        <v>248.52512479490073</v>
      </c>
    </row>
    <row r="512" spans="1:3" x14ac:dyDescent="0.25">
      <c r="A512" s="74">
        <v>510</v>
      </c>
      <c r="B512" s="74">
        <v>126.73885203198803</v>
      </c>
      <c r="C512" s="74">
        <v>248.4395745895211</v>
      </c>
    </row>
    <row r="513" spans="1:3" x14ac:dyDescent="0.25">
      <c r="A513" s="74">
        <v>511</v>
      </c>
      <c r="B513" s="74">
        <v>126.55435698987453</v>
      </c>
      <c r="C513" s="74">
        <v>248.35368422702288</v>
      </c>
    </row>
    <row r="514" spans="1:3" x14ac:dyDescent="0.25">
      <c r="A514" s="74">
        <v>512</v>
      </c>
      <c r="B514" s="74">
        <v>126.36892387600376</v>
      </c>
      <c r="C514" s="74">
        <v>248.26745335436485</v>
      </c>
    </row>
    <row r="515" spans="1:3" x14ac:dyDescent="0.25">
      <c r="A515" s="74">
        <v>513</v>
      </c>
      <c r="B515" s="74">
        <v>126.18254855471113</v>
      </c>
      <c r="C515" s="74">
        <v>248.18088161661444</v>
      </c>
    </row>
    <row r="516" spans="1:3" x14ac:dyDescent="0.25">
      <c r="A516" s="74">
        <v>514</v>
      </c>
      <c r="B516" s="74">
        <v>125.99522684478571</v>
      </c>
      <c r="C516" s="74">
        <v>248.09396865693975</v>
      </c>
    </row>
    <row r="517" spans="1:3" x14ac:dyDescent="0.25">
      <c r="A517" s="74">
        <v>515</v>
      </c>
      <c r="B517" s="74">
        <v>125.80695451881887</v>
      </c>
      <c r="C517" s="74">
        <v>248.00671411660124</v>
      </c>
    </row>
    <row r="518" spans="1:3" x14ac:dyDescent="0.25">
      <c r="A518" s="74">
        <v>516</v>
      </c>
      <c r="B518" s="74">
        <v>125.61772730254074</v>
      </c>
      <c r="C518" s="74">
        <v>247.91911763494338</v>
      </c>
    </row>
    <row r="519" spans="1:3" x14ac:dyDescent="0.25">
      <c r="A519" s="74">
        <v>517</v>
      </c>
      <c r="B519" s="74">
        <v>125.42754087414372</v>
      </c>
      <c r="C519" s="74">
        <v>247.83117884938636</v>
      </c>
    </row>
    <row r="520" spans="1:3" x14ac:dyDescent="0.25">
      <c r="A520" s="74">
        <v>518</v>
      </c>
      <c r="B520" s="74">
        <v>125.23639086359312</v>
      </c>
      <c r="C520" s="74">
        <v>247.74289739541786</v>
      </c>
    </row>
    <row r="521" spans="1:3" x14ac:dyDescent="0.25">
      <c r="A521" s="74">
        <v>519</v>
      </c>
      <c r="B521" s="74">
        <v>125.04427285192443</v>
      </c>
      <c r="C521" s="74">
        <v>247.6542729065842</v>
      </c>
    </row>
    <row r="522" spans="1:3" x14ac:dyDescent="0.25">
      <c r="A522" s="74">
        <v>520</v>
      </c>
      <c r="B522" s="74">
        <v>124.85118237052683</v>
      </c>
      <c r="C522" s="74">
        <v>247.56530501448213</v>
      </c>
    </row>
    <row r="523" spans="1:3" x14ac:dyDescent="0.25">
      <c r="A523" s="74">
        <v>521</v>
      </c>
      <c r="B523" s="74">
        <v>124.65711490041294</v>
      </c>
      <c r="C523" s="74">
        <v>247.47599334875014</v>
      </c>
    </row>
    <row r="524" spans="1:3" x14ac:dyDescent="0.25">
      <c r="A524" s="74">
        <v>522</v>
      </c>
      <c r="B524" s="74">
        <v>124.46206587147401</v>
      </c>
      <c r="C524" s="74">
        <v>247.38633753705963</v>
      </c>
    </row>
    <row r="525" spans="1:3" x14ac:dyDescent="0.25">
      <c r="A525" s="74">
        <v>523</v>
      </c>
      <c r="B525" s="74">
        <v>124.26603066172061</v>
      </c>
      <c r="C525" s="74">
        <v>247.29633720510648</v>
      </c>
    </row>
    <row r="526" spans="1:3" x14ac:dyDescent="0.25">
      <c r="A526" s="74">
        <v>524</v>
      </c>
      <c r="B526" s="74">
        <v>124.06900459650838</v>
      </c>
      <c r="C526" s="74">
        <v>247.20599197660198</v>
      </c>
    </row>
    <row r="527" spans="1:3" x14ac:dyDescent="0.25">
      <c r="A527" s="74">
        <v>525</v>
      </c>
      <c r="B527" s="74">
        <v>123.87098294774817</v>
      </c>
      <c r="C527" s="74">
        <v>247.11530147326414</v>
      </c>
    </row>
    <row r="528" spans="1:3" x14ac:dyDescent="0.25">
      <c r="A528" s="74">
        <v>526</v>
      </c>
      <c r="B528" s="74">
        <v>123.67196093310075</v>
      </c>
      <c r="C528" s="74">
        <v>247.02426531480867</v>
      </c>
    </row>
    <row r="529" spans="1:3" x14ac:dyDescent="0.25">
      <c r="A529" s="74">
        <v>527</v>
      </c>
      <c r="B529" s="74">
        <v>123.47193371515509</v>
      </c>
      <c r="C529" s="74">
        <v>246.93288311894005</v>
      </c>
    </row>
    <row r="530" spans="1:3" x14ac:dyDescent="0.25">
      <c r="A530" s="74">
        <v>528</v>
      </c>
      <c r="B530" s="74">
        <v>123.27089640059037</v>
      </c>
      <c r="C530" s="74">
        <v>246.84115450134234</v>
      </c>
    </row>
    <row r="531" spans="1:3" x14ac:dyDescent="0.25">
      <c r="A531" s="74">
        <v>529</v>
      </c>
      <c r="B531" s="74">
        <v>123.06884403932089</v>
      </c>
      <c r="C531" s="74">
        <v>246.74907907567021</v>
      </c>
    </row>
    <row r="532" spans="1:3" x14ac:dyDescent="0.25">
      <c r="A532" s="74">
        <v>530</v>
      </c>
      <c r="B532" s="74">
        <v>122.86577162362376</v>
      </c>
      <c r="C532" s="74">
        <v>246.65665645353968</v>
      </c>
    </row>
    <row r="533" spans="1:3" x14ac:dyDescent="0.25">
      <c r="A533" s="74">
        <v>531</v>
      </c>
      <c r="B533" s="74">
        <v>122.66167408724873</v>
      </c>
      <c r="C533" s="74">
        <v>246.56388624451878</v>
      </c>
    </row>
    <row r="534" spans="1:3" x14ac:dyDescent="0.25">
      <c r="A534" s="74">
        <v>532</v>
      </c>
      <c r="B534" s="74">
        <v>122.4565463045098</v>
      </c>
      <c r="C534" s="74">
        <v>246.47076805611826</v>
      </c>
    </row>
    <row r="535" spans="1:3" x14ac:dyDescent="0.25">
      <c r="A535" s="74">
        <v>533</v>
      </c>
      <c r="B535" s="74">
        <v>122.25038308935829</v>
      </c>
      <c r="C535" s="74">
        <v>246.37730149378214</v>
      </c>
    </row>
    <row r="536" spans="1:3" x14ac:dyDescent="0.25">
      <c r="A536" s="74">
        <v>534</v>
      </c>
      <c r="B536" s="74">
        <v>122.04317919443652</v>
      </c>
      <c r="C536" s="74">
        <v>246.28348616087834</v>
      </c>
    </row>
    <row r="537" spans="1:3" x14ac:dyDescent="0.25">
      <c r="A537" s="74">
        <v>535</v>
      </c>
      <c r="B537" s="74">
        <v>121.83492931011205</v>
      </c>
      <c r="C537" s="74">
        <v>246.18932165868901</v>
      </c>
    </row>
    <row r="538" spans="1:3" x14ac:dyDescent="0.25">
      <c r="A538" s="74">
        <v>536</v>
      </c>
      <c r="B538" s="74">
        <v>121.62562806349175</v>
      </c>
      <c r="C538" s="74">
        <v>246.09480758640083</v>
      </c>
    </row>
    <row r="539" spans="1:3" x14ac:dyDescent="0.25">
      <c r="A539" s="74">
        <v>537</v>
      </c>
      <c r="B539" s="74">
        <v>121.4152700174152</v>
      </c>
      <c r="C539" s="74">
        <v>245.9999435410956</v>
      </c>
    </row>
    <row r="540" spans="1:3" x14ac:dyDescent="0.25">
      <c r="A540" s="74">
        <v>538</v>
      </c>
      <c r="B540" s="74">
        <v>121.20384966942683</v>
      </c>
      <c r="C540" s="74">
        <v>245.90472911774012</v>
      </c>
    </row>
    <row r="541" spans="1:3" x14ac:dyDescent="0.25">
      <c r="A541" s="74">
        <v>539</v>
      </c>
      <c r="B541" s="74">
        <v>120.99136145072664</v>
      </c>
      <c r="C541" s="74">
        <v>245.80916390917648</v>
      </c>
    </row>
    <row r="542" spans="1:3" x14ac:dyDescent="0.25">
      <c r="A542" s="74">
        <v>540</v>
      </c>
      <c r="B542" s="74">
        <v>120.77779972509811</v>
      </c>
      <c r="C542" s="74">
        <v>245.71324750611228</v>
      </c>
    </row>
    <row r="543" spans="1:3" x14ac:dyDescent="0.25">
      <c r="A543" s="74">
        <v>541</v>
      </c>
      <c r="B543" s="74">
        <v>120.56315878781386</v>
      </c>
      <c r="C543" s="74">
        <v>245.61697949711041</v>
      </c>
    </row>
    <row r="544" spans="1:3" x14ac:dyDescent="0.25">
      <c r="A544" s="74">
        <v>542</v>
      </c>
      <c r="B544" s="74">
        <v>120.34743286451732</v>
      </c>
      <c r="C544" s="74">
        <v>245.52035946857899</v>
      </c>
    </row>
    <row r="545" spans="1:3" x14ac:dyDescent="0.25">
      <c r="A545" s="74">
        <v>543</v>
      </c>
      <c r="B545" s="74">
        <v>120.13061611008061</v>
      </c>
      <c r="C545" s="74">
        <v>245.42338700476139</v>
      </c>
    </row>
    <row r="546" spans="1:3" x14ac:dyDescent="0.25">
      <c r="A546" s="74">
        <v>544</v>
      </c>
      <c r="B546" s="74">
        <v>119.91270260743769</v>
      </c>
      <c r="C546" s="74">
        <v>245.32606168772588</v>
      </c>
    </row>
    <row r="547" spans="1:3" x14ac:dyDescent="0.25">
      <c r="A547" s="74">
        <v>545</v>
      </c>
      <c r="B547" s="74">
        <v>119.69368636639197</v>
      </c>
      <c r="C547" s="74">
        <v>245.22838309735519</v>
      </c>
    </row>
    <row r="548" spans="1:3" x14ac:dyDescent="0.25">
      <c r="A548" s="74">
        <v>546</v>
      </c>
      <c r="B548" s="74">
        <v>119.47356132239797</v>
      </c>
      <c r="C548" s="74">
        <v>245.13035081133648</v>
      </c>
    </row>
    <row r="549" spans="1:3" x14ac:dyDescent="0.25">
      <c r="A549" s="74">
        <v>547</v>
      </c>
      <c r="B549" s="74">
        <v>119.25232133531635</v>
      </c>
      <c r="C549" s="74">
        <v>245.03196440515043</v>
      </c>
    </row>
    <row r="550" spans="1:3" x14ac:dyDescent="0.25">
      <c r="A550" s="74">
        <v>548</v>
      </c>
      <c r="B550" s="74">
        <v>119.0299601881412</v>
      </c>
      <c r="C550" s="74">
        <v>244.93322345206107</v>
      </c>
    </row>
    <row r="551" spans="1:3" x14ac:dyDescent="0.25">
      <c r="A551" s="74">
        <v>549</v>
      </c>
      <c r="B551" s="74">
        <v>118.80647158569937</v>
      </c>
      <c r="C551" s="74">
        <v>244.83412752310491</v>
      </c>
    </row>
    <row r="552" spans="1:3" x14ac:dyDescent="0.25">
      <c r="A552" s="74">
        <v>550</v>
      </c>
      <c r="B552" s="74">
        <v>118.58184915332058</v>
      </c>
      <c r="C552" s="74">
        <v>244.73467618708034</v>
      </c>
    </row>
    <row r="553" spans="1:3" x14ac:dyDescent="0.25">
      <c r="A553" s="74">
        <v>551</v>
      </c>
      <c r="B553" s="74">
        <v>118.35608643547799</v>
      </c>
      <c r="C553" s="74">
        <v>244.63486901053676</v>
      </c>
    </row>
    <row r="554" spans="1:3" x14ac:dyDescent="0.25">
      <c r="A554" s="74">
        <v>552</v>
      </c>
      <c r="B554" s="74">
        <v>118.12917689439799</v>
      </c>
      <c r="C554" s="74">
        <v>244.53470555776377</v>
      </c>
    </row>
    <row r="555" spans="1:3" x14ac:dyDescent="0.25">
      <c r="A555" s="74">
        <v>553</v>
      </c>
      <c r="B555" s="74">
        <v>117.90111390863864</v>
      </c>
      <c r="C555" s="74">
        <v>244.43418539078021</v>
      </c>
    </row>
    <row r="556" spans="1:3" x14ac:dyDescent="0.25">
      <c r="A556" s="74">
        <v>554</v>
      </c>
      <c r="B556" s="74">
        <v>117.67189077163572</v>
      </c>
      <c r="C556" s="74">
        <v>244.33330806932315</v>
      </c>
    </row>
    <row r="557" spans="1:3" x14ac:dyDescent="0.25">
      <c r="A557" s="74">
        <v>555</v>
      </c>
      <c r="B557" s="74">
        <v>117.44150069021569</v>
      </c>
      <c r="C557" s="74">
        <v>244.2320731508365</v>
      </c>
    </row>
    <row r="558" spans="1:3" x14ac:dyDescent="0.25">
      <c r="A558" s="74">
        <v>556</v>
      </c>
      <c r="B558" s="74">
        <v>117.20993678307427</v>
      </c>
      <c r="C558" s="74">
        <v>244.13048019046022</v>
      </c>
    </row>
    <row r="559" spans="1:3" x14ac:dyDescent="0.25">
      <c r="A559" s="74">
        <v>557</v>
      </c>
      <c r="B559" s="74">
        <v>116.9771920792202</v>
      </c>
      <c r="C559" s="74">
        <v>244.02852874101868</v>
      </c>
    </row>
    <row r="560" spans="1:3" x14ac:dyDescent="0.25">
      <c r="A560" s="74">
        <v>558</v>
      </c>
      <c r="B560" s="74">
        <v>116.74325951638264</v>
      </c>
      <c r="C560" s="74">
        <v>243.92621835300935</v>
      </c>
    </row>
    <row r="561" spans="1:3" x14ac:dyDescent="0.25">
      <c r="A561" s="74">
        <v>559</v>
      </c>
      <c r="B561" s="74">
        <v>116.5081319393815</v>
      </c>
      <c r="C561" s="74">
        <v>243.82354857459148</v>
      </c>
    </row>
    <row r="562" spans="1:3" x14ac:dyDescent="0.25">
      <c r="A562" s="74">
        <v>560</v>
      </c>
      <c r="B562" s="74">
        <v>116.27180209845964</v>
      </c>
      <c r="C562" s="74">
        <v>243.72051895157432</v>
      </c>
    </row>
    <row r="563" spans="1:3" x14ac:dyDescent="0.25">
      <c r="A563" s="74">
        <v>561</v>
      </c>
      <c r="B563" s="74">
        <v>116.03426264757567</v>
      </c>
      <c r="C563" s="74">
        <v>243.61712902740555</v>
      </c>
    </row>
    <row r="564" spans="1:3" x14ac:dyDescent="0.25">
      <c r="A564" s="74">
        <v>562</v>
      </c>
      <c r="B564" s="74">
        <v>115.79550614265634</v>
      </c>
      <c r="C564" s="74">
        <v>243.51337834315956</v>
      </c>
    </row>
    <row r="565" spans="1:3" x14ac:dyDescent="0.25">
      <c r="A565" s="74">
        <v>563</v>
      </c>
      <c r="B565" s="74">
        <v>115.55552503980728</v>
      </c>
      <c r="C565" s="74">
        <v>243.40926643752559</v>
      </c>
    </row>
    <row r="566" spans="1:3" x14ac:dyDescent="0.25">
      <c r="A566" s="74">
        <v>564</v>
      </c>
      <c r="B566" s="74">
        <v>115.31431169348089</v>
      </c>
      <c r="C566" s="74">
        <v>243.30479284679581</v>
      </c>
    </row>
    <row r="567" spans="1:3" x14ac:dyDescent="0.25">
      <c r="A567" s="74">
        <v>565</v>
      </c>
      <c r="B567" s="74">
        <v>115.07185835460024</v>
      </c>
      <c r="C567" s="74">
        <v>243.19995710485327</v>
      </c>
    </row>
    <row r="568" spans="1:3" x14ac:dyDescent="0.25">
      <c r="A568" s="74">
        <v>566</v>
      </c>
      <c r="B568" s="74">
        <v>114.8281571686373</v>
      </c>
      <c r="C568" s="74">
        <v>243.09475874315979</v>
      </c>
    </row>
    <row r="569" spans="1:3" x14ac:dyDescent="0.25">
      <c r="A569" s="74">
        <v>567</v>
      </c>
      <c r="B569" s="74">
        <v>114.58320017364471</v>
      </c>
      <c r="C569" s="74">
        <v>242.98919729074376</v>
      </c>
    </row>
    <row r="570" spans="1:3" x14ac:dyDescent="0.25">
      <c r="A570" s="74">
        <v>568</v>
      </c>
      <c r="B570" s="74">
        <v>114.33697929823917</v>
      </c>
      <c r="C570" s="74">
        <v>242.88327227418787</v>
      </c>
    </row>
    <row r="571" spans="1:3" x14ac:dyDescent="0.25">
      <c r="A571" s="74">
        <v>569</v>
      </c>
      <c r="B571" s="74">
        <v>114.08948635953529</v>
      </c>
      <c r="C571" s="74">
        <v>242.77698321761665</v>
      </c>
    </row>
    <row r="572" spans="1:3" x14ac:dyDescent="0.25">
      <c r="A572" s="74">
        <v>570</v>
      </c>
      <c r="B572" s="74">
        <v>113.84071306102828</v>
      </c>
      <c r="C572" s="74">
        <v>242.67032964268392</v>
      </c>
    </row>
    <row r="573" spans="1:3" x14ac:dyDescent="0.25">
      <c r="A573" s="74">
        <v>571</v>
      </c>
      <c r="B573" s="74">
        <v>113.59065099042411</v>
      </c>
      <c r="C573" s="74">
        <v>242.56331106856041</v>
      </c>
    </row>
    <row r="574" spans="1:3" x14ac:dyDescent="0.25">
      <c r="A574" s="74">
        <v>572</v>
      </c>
      <c r="B574" s="74">
        <v>113.33929161741518</v>
      </c>
      <c r="C574" s="74">
        <v>242.45592701192083</v>
      </c>
    </row>
    <row r="575" spans="1:3" x14ac:dyDescent="0.25">
      <c r="A575" s="74">
        <v>573</v>
      </c>
      <c r="B575" s="74">
        <v>113.08662629140015</v>
      </c>
      <c r="C575" s="74">
        <v>242.34817698693112</v>
      </c>
    </row>
    <row r="576" spans="1:3" x14ac:dyDescent="0.25">
      <c r="A576" s="74">
        <v>574</v>
      </c>
      <c r="B576" s="74">
        <v>112.83264623914607</v>
      </c>
      <c r="C576" s="74">
        <v>242.2400605052357</v>
      </c>
    </row>
    <row r="577" spans="1:3" x14ac:dyDescent="0.25">
      <c r="A577" s="74">
        <v>575</v>
      </c>
      <c r="B577" s="74">
        <v>112.57734256239108</v>
      </c>
      <c r="C577" s="74">
        <v>242.13157707594428</v>
      </c>
    </row>
    <row r="578" spans="1:3" x14ac:dyDescent="0.25">
      <c r="A578" s="74">
        <v>576</v>
      </c>
      <c r="B578" s="74">
        <v>112.32070623538561</v>
      </c>
      <c r="C578" s="74">
        <v>242.02272620561897</v>
      </c>
    </row>
    <row r="579" spans="1:3" x14ac:dyDescent="0.25">
      <c r="A579" s="74">
        <v>577</v>
      </c>
      <c r="B579" s="74">
        <v>112.06272810237046</v>
      </c>
      <c r="C579" s="74">
        <v>241.9135073982608</v>
      </c>
    </row>
    <row r="580" spans="1:3" x14ac:dyDescent="0.25">
      <c r="A580" s="74">
        <v>578</v>
      </c>
      <c r="B580" s="74">
        <v>111.80339887498948</v>
      </c>
      <c r="C580" s="74">
        <v>241.80392015529677</v>
      </c>
    </row>
    <row r="581" spans="1:3" x14ac:dyDescent="0.25">
      <c r="A581" s="74">
        <v>579</v>
      </c>
      <c r="B581" s="74">
        <v>111.54270912963503</v>
      </c>
      <c r="C581" s="74">
        <v>241.69396397556602</v>
      </c>
    </row>
    <row r="582" spans="1:3" x14ac:dyDescent="0.25">
      <c r="A582" s="74">
        <v>580</v>
      </c>
      <c r="B582" s="74">
        <v>111.28064930472372</v>
      </c>
      <c r="C582" s="74">
        <v>241.58363835530679</v>
      </c>
    </row>
    <row r="583" spans="1:3" x14ac:dyDescent="0.25">
      <c r="A583" s="74">
        <v>581</v>
      </c>
      <c r="B583" s="74">
        <v>111.01720969790057</v>
      </c>
      <c r="C583" s="74">
        <v>241.47294278814229</v>
      </c>
    </row>
    <row r="584" spans="1:3" x14ac:dyDescent="0.25">
      <c r="A584" s="74">
        <v>582</v>
      </c>
      <c r="B584" s="74">
        <v>110.7523804631689</v>
      </c>
      <c r="C584" s="74">
        <v>241.36187676506734</v>
      </c>
    </row>
    <row r="585" spans="1:3" x14ac:dyDescent="0.25">
      <c r="A585" s="74">
        <v>583</v>
      </c>
      <c r="B585" s="74">
        <v>110.486151607944</v>
      </c>
      <c r="C585" s="74">
        <v>241.25043977443445</v>
      </c>
    </row>
    <row r="586" spans="1:3" x14ac:dyDescent="0.25">
      <c r="A586" s="74">
        <v>584</v>
      </c>
      <c r="B586" s="74">
        <v>110.21851299002735</v>
      </c>
      <c r="C586" s="74">
        <v>241.13863130193977</v>
      </c>
    </row>
    <row r="587" spans="1:3" x14ac:dyDescent="0.25">
      <c r="A587" s="74">
        <v>585</v>
      </c>
      <c r="B587" s="74">
        <v>109.94945431449965</v>
      </c>
      <c r="C587" s="74">
        <v>241.02645083060904</v>
      </c>
    </row>
    <row r="588" spans="1:3" x14ac:dyDescent="0.25">
      <c r="A588" s="74">
        <v>586</v>
      </c>
      <c r="B588" s="74">
        <v>109.67896513052919</v>
      </c>
      <c r="C588" s="74">
        <v>240.91389784078359</v>
      </c>
    </row>
    <row r="589" spans="1:3" x14ac:dyDescent="0.25">
      <c r="A589" s="74">
        <v>587</v>
      </c>
      <c r="B589" s="74">
        <v>109.40703482809324</v>
      </c>
      <c r="C589" s="74">
        <v>240.80097181010578</v>
      </c>
    </row>
    <row r="590" spans="1:3" x14ac:dyDescent="0.25">
      <c r="A590" s="74">
        <v>588</v>
      </c>
      <c r="B590" s="74">
        <v>109.13365263460925</v>
      </c>
      <c r="C590" s="74">
        <v>240.68767221350484</v>
      </c>
    </row>
    <row r="591" spans="1:3" x14ac:dyDescent="0.25">
      <c r="A591" s="74">
        <v>589</v>
      </c>
      <c r="B591" s="74">
        <v>108.8588076114729</v>
      </c>
      <c r="C591" s="74">
        <v>240.57399852318224</v>
      </c>
    </row>
    <row r="592" spans="1:3" x14ac:dyDescent="0.25">
      <c r="A592" s="74">
        <v>590</v>
      </c>
      <c r="B592" s="74">
        <v>108.58248865050001</v>
      </c>
      <c r="C592" s="74">
        <v>240.45995020859709</v>
      </c>
    </row>
    <row r="593" spans="1:3" x14ac:dyDescent="0.25">
      <c r="A593" s="74">
        <v>591</v>
      </c>
      <c r="B593" s="74">
        <v>108.30468447026857</v>
      </c>
      <c r="C593" s="74">
        <v>240.34552673645129</v>
      </c>
    </row>
    <row r="594" spans="1:3" x14ac:dyDescent="0.25">
      <c r="A594" s="74">
        <v>592</v>
      </c>
      <c r="B594" s="74">
        <v>108.02538361235788</v>
      </c>
      <c r="C594" s="74">
        <v>240.23072757067484</v>
      </c>
    </row>
    <row r="595" spans="1:3" x14ac:dyDescent="0.25">
      <c r="A595" s="74">
        <v>593</v>
      </c>
      <c r="B595" s="74">
        <v>107.74457443748106</v>
      </c>
      <c r="C595" s="74">
        <v>240.11555217241079</v>
      </c>
    </row>
    <row r="596" spans="1:3" x14ac:dyDescent="0.25">
      <c r="A596" s="74">
        <v>594</v>
      </c>
      <c r="B596" s="74">
        <v>107.46224512150718</v>
      </c>
      <c r="C596" s="74">
        <v>240</v>
      </c>
    </row>
    <row r="597" spans="1:3" x14ac:dyDescent="0.25">
      <c r="A597" s="74">
        <v>595</v>
      </c>
      <c r="B597" s="74">
        <v>107.17838365136912</v>
      </c>
      <c r="C597" s="74">
        <v>239.88407050896609</v>
      </c>
    </row>
    <row r="598" spans="1:3" x14ac:dyDescent="0.25">
      <c r="A598" s="74">
        <v>596</v>
      </c>
      <c r="B598" s="74">
        <v>106.89297782085319</v>
      </c>
      <c r="C598" s="74">
        <v>239.76776315200004</v>
      </c>
    </row>
    <row r="599" spans="1:3" x14ac:dyDescent="0.25">
      <c r="A599" s="74">
        <v>597</v>
      </c>
      <c r="B599" s="74">
        <v>106.60601522626635</v>
      </c>
      <c r="C599" s="74">
        <v>239.65107737894459</v>
      </c>
    </row>
    <row r="600" spans="1:3" x14ac:dyDescent="0.25">
      <c r="A600" s="74">
        <v>598</v>
      </c>
      <c r="B600" s="74">
        <v>106.31748326197638</v>
      </c>
      <c r="C600" s="74">
        <v>239.5340126367789</v>
      </c>
    </row>
    <row r="601" spans="1:3" x14ac:dyDescent="0.25">
      <c r="A601" s="74">
        <v>599</v>
      </c>
      <c r="B601" s="74">
        <v>106.02736911582075</v>
      </c>
      <c r="C601" s="74">
        <v>239.41656836960246</v>
      </c>
    </row>
    <row r="602" spans="1:3" x14ac:dyDescent="0.25">
      <c r="A602" s="74">
        <v>600</v>
      </c>
      <c r="B602" s="74">
        <v>105.73565976437914</v>
      </c>
      <c r="C602" s="74">
        <v>239.29874401861971</v>
      </c>
    </row>
    <row r="603" spans="1:3" x14ac:dyDescent="0.25">
      <c r="A603" s="74">
        <v>601</v>
      </c>
      <c r="B603" s="74">
        <v>105.44234196810486</v>
      </c>
      <c r="C603" s="74">
        <v>239.18053902212358</v>
      </c>
    </row>
    <row r="604" spans="1:3" x14ac:dyDescent="0.25">
      <c r="A604" s="74">
        <v>602</v>
      </c>
      <c r="B604" s="74">
        <v>105.14740226630977</v>
      </c>
      <c r="C604" s="74">
        <v>239.06195281547966</v>
      </c>
    </row>
    <row r="605" spans="1:3" x14ac:dyDescent="0.25">
      <c r="A605" s="74">
        <v>603</v>
      </c>
      <c r="B605" s="74">
        <v>104.85082697199739</v>
      </c>
      <c r="C605" s="74">
        <v>238.94298483110987</v>
      </c>
    </row>
    <row r="606" spans="1:3" x14ac:dyDescent="0.25">
      <c r="A606" s="74">
        <v>604</v>
      </c>
      <c r="B606" s="74">
        <v>104.55260216653858</v>
      </c>
      <c r="C606" s="74">
        <v>238.82363449847614</v>
      </c>
    </row>
    <row r="607" spans="1:3" x14ac:dyDescent="0.25">
      <c r="A607" s="74">
        <v>605</v>
      </c>
      <c r="B607" s="74">
        <v>104.25271369418354</v>
      </c>
      <c r="C607" s="74">
        <v>238.70390124406387</v>
      </c>
    </row>
    <row r="608" spans="1:3" x14ac:dyDescent="0.25">
      <c r="A608" s="74">
        <v>606</v>
      </c>
      <c r="B608" s="74">
        <v>103.95114715640469</v>
      </c>
      <c r="C608" s="74">
        <v>238.58378449136526</v>
      </c>
    </row>
    <row r="609" spans="1:3" x14ac:dyDescent="0.25">
      <c r="A609" s="74">
        <v>607</v>
      </c>
      <c r="B609" s="74">
        <v>103.64788790606289</v>
      </c>
      <c r="C609" s="74">
        <v>238.46328366086252</v>
      </c>
    </row>
    <row r="610" spans="1:3" x14ac:dyDescent="0.25">
      <c r="A610" s="74">
        <v>608</v>
      </c>
      <c r="B610" s="74">
        <v>103.34292104139125</v>
      </c>
      <c r="C610" s="74">
        <v>238.34239817001108</v>
      </c>
    </row>
    <row r="611" spans="1:3" x14ac:dyDescent="0.25">
      <c r="A611" s="74">
        <v>609</v>
      </c>
      <c r="B611" s="74">
        <v>103.03623139978893</v>
      </c>
      <c r="C611" s="74">
        <v>238.22112743322234</v>
      </c>
    </row>
    <row r="612" spans="1:3" x14ac:dyDescent="0.25">
      <c r="A612" s="74">
        <v>610</v>
      </c>
      <c r="B612" s="74">
        <v>102.72780355141761</v>
      </c>
      <c r="C612" s="74">
        <v>238.09947086184664</v>
      </c>
    </row>
    <row r="613" spans="1:3" x14ac:dyDescent="0.25">
      <c r="A613" s="74">
        <v>611</v>
      </c>
      <c r="B613" s="74">
        <v>102.41762179259301</v>
      </c>
      <c r="C613" s="74">
        <v>237.97742786415586</v>
      </c>
    </row>
    <row r="614" spans="1:3" x14ac:dyDescent="0.25">
      <c r="A614" s="74">
        <v>612</v>
      </c>
      <c r="B614" s="74">
        <v>102.10567013896325</v>
      </c>
      <c r="C614" s="74">
        <v>237.85499784532593</v>
      </c>
    </row>
    <row r="615" spans="1:3" x14ac:dyDescent="0.25">
      <c r="A615" s="74">
        <v>613</v>
      </c>
      <c r="B615" s="74">
        <v>101.79193231846567</v>
      </c>
      <c r="C615" s="74">
        <v>237.73218020741922</v>
      </c>
    </row>
    <row r="616" spans="1:3" x14ac:dyDescent="0.25">
      <c r="A616" s="74">
        <v>614</v>
      </c>
      <c r="B616" s="74">
        <v>101.47639176405315</v>
      </c>
      <c r="C616" s="74">
        <v>237.60897434936675</v>
      </c>
    </row>
    <row r="617" spans="1:3" x14ac:dyDescent="0.25">
      <c r="A617" s="74">
        <v>615</v>
      </c>
      <c r="B617" s="74">
        <v>101.15903160618073</v>
      </c>
      <c r="C617" s="74">
        <v>237.48537966695037</v>
      </c>
    </row>
    <row r="618" spans="1:3" x14ac:dyDescent="0.25">
      <c r="A618" s="74">
        <v>616</v>
      </c>
      <c r="B618" s="74">
        <v>100.83983466504256</v>
      </c>
      <c r="C618" s="74">
        <v>237.36139555278453</v>
      </c>
    </row>
    <row r="619" spans="1:3" x14ac:dyDescent="0.25">
      <c r="A619" s="74">
        <v>617</v>
      </c>
      <c r="B619" s="74">
        <v>100.51878344254941</v>
      </c>
      <c r="C619" s="74">
        <v>237.23702139629819</v>
      </c>
    </row>
    <row r="620" spans="1:3" x14ac:dyDescent="0.25">
      <c r="A620" s="74">
        <v>618</v>
      </c>
      <c r="B620" s="74">
        <v>100.19586011403538</v>
      </c>
      <c r="C620" s="74">
        <v>237.11225658371654</v>
      </c>
    </row>
    <row r="621" spans="1:3" x14ac:dyDescent="0.25">
      <c r="A621" s="74">
        <v>619</v>
      </c>
      <c r="B621" s="74">
        <v>99.87104651968319</v>
      </c>
      <c r="C621" s="74">
        <v>236.9871004980422</v>
      </c>
    </row>
    <row r="622" spans="1:3" x14ac:dyDescent="0.25">
      <c r="A622" s="74">
        <v>620</v>
      </c>
      <c r="B622" s="74">
        <v>99.544324155655772</v>
      </c>
      <c r="C622" s="74">
        <v>236.86155251903674</v>
      </c>
    </row>
    <row r="623" spans="1:3" x14ac:dyDescent="0.25">
      <c r="A623" s="74">
        <v>621</v>
      </c>
      <c r="B623" s="74">
        <v>99.215674164922149</v>
      </c>
      <c r="C623" s="74">
        <v>236.73561202320195</v>
      </c>
    </row>
    <row r="624" spans="1:3" x14ac:dyDescent="0.25">
      <c r="A624" s="74">
        <v>622</v>
      </c>
      <c r="B624" s="74">
        <v>98.885077327764179</v>
      </c>
      <c r="C624" s="74">
        <v>236.60927838376068</v>
      </c>
    </row>
    <row r="625" spans="1:3" x14ac:dyDescent="0.25">
      <c r="A625" s="74">
        <v>623</v>
      </c>
      <c r="B625" s="74">
        <v>98.552514051950894</v>
      </c>
      <c r="C625" s="74">
        <v>236.48255097063767</v>
      </c>
    </row>
    <row r="626" spans="1:3" x14ac:dyDescent="0.25">
      <c r="A626" s="74">
        <v>624</v>
      </c>
      <c r="B626" s="74">
        <v>98.217964362565723</v>
      </c>
      <c r="C626" s="74">
        <v>236.35542915044047</v>
      </c>
    </row>
    <row r="627" spans="1:3" x14ac:dyDescent="0.25">
      <c r="A627" s="74">
        <v>625</v>
      </c>
      <c r="B627" s="74">
        <v>97.881407891471696</v>
      </c>
      <c r="C627" s="74">
        <v>236.22791228643976</v>
      </c>
    </row>
    <row r="628" spans="1:3" x14ac:dyDescent="0.25">
      <c r="A628" s="74">
        <v>626</v>
      </c>
      <c r="B628" s="74">
        <v>97.542823866398592</v>
      </c>
      <c r="C628" s="74">
        <v>236.0999997385498</v>
      </c>
    </row>
    <row r="629" spans="1:3" x14ac:dyDescent="0.25">
      <c r="A629" s="74">
        <v>627</v>
      </c>
      <c r="B629" s="74">
        <v>97.202191099635385</v>
      </c>
      <c r="C629" s="74">
        <v>235.97169086330862</v>
      </c>
    </row>
    <row r="630" spans="1:3" x14ac:dyDescent="0.25">
      <c r="A630" s="74">
        <v>628</v>
      </c>
      <c r="B630" s="74">
        <v>96.859487976310263</v>
      </c>
      <c r="C630" s="74">
        <v>235.84298501385814</v>
      </c>
    </row>
    <row r="631" spans="1:3" x14ac:dyDescent="0.25">
      <c r="A631" s="74">
        <v>629</v>
      </c>
      <c r="B631" s="74">
        <v>96.514692442239692</v>
      </c>
      <c r="C631" s="74">
        <v>235.7138815399239</v>
      </c>
    </row>
    <row r="632" spans="1:3" x14ac:dyDescent="0.25">
      <c r="A632" s="74">
        <v>630</v>
      </c>
      <c r="B632" s="74">
        <v>96.167781991327118</v>
      </c>
      <c r="C632" s="74">
        <v>235.58437978779492</v>
      </c>
    </row>
    <row r="633" spans="1:3" x14ac:dyDescent="0.25">
      <c r="A633" s="74">
        <v>631</v>
      </c>
      <c r="B633" s="74">
        <v>95.818733652490423</v>
      </c>
      <c r="C633" s="74">
        <v>235.45447910030308</v>
      </c>
    </row>
    <row r="634" spans="1:3" x14ac:dyDescent="0.25">
      <c r="A634" s="74">
        <v>632</v>
      </c>
      <c r="B634" s="74">
        <v>95.467523976096473</v>
      </c>
      <c r="C634" s="74">
        <v>235.32417881680254</v>
      </c>
    </row>
    <row r="635" spans="1:3" x14ac:dyDescent="0.25">
      <c r="A635" s="74">
        <v>633</v>
      </c>
      <c r="B635" s="74">
        <v>95.114129019880025</v>
      </c>
      <c r="C635" s="74">
        <v>235.19347827314903</v>
      </c>
    </row>
    <row r="636" spans="1:3" x14ac:dyDescent="0.25">
      <c r="A636" s="74">
        <v>634</v>
      </c>
      <c r="B636" s="74">
        <v>94.758524334322487</v>
      </c>
      <c r="C636" s="74">
        <v>235.0623768016786</v>
      </c>
    </row>
    <row r="637" spans="1:3" x14ac:dyDescent="0.25">
      <c r="A637" s="74">
        <v>635</v>
      </c>
      <c r="B637" s="74">
        <v>94.400684947465123</v>
      </c>
      <c r="C637" s="74">
        <v>234.93087373118667</v>
      </c>
    </row>
    <row r="638" spans="1:3" x14ac:dyDescent="0.25">
      <c r="A638" s="74">
        <v>636</v>
      </c>
      <c r="B638" s="74">
        <v>94.040585349129572</v>
      </c>
      <c r="C638" s="74">
        <v>234.79896838690661</v>
      </c>
    </row>
    <row r="639" spans="1:3" x14ac:dyDescent="0.25">
      <c r="A639" s="74">
        <v>637</v>
      </c>
      <c r="B639" s="74">
        <v>93.678199474517299</v>
      </c>
      <c r="C639" s="74">
        <v>234.66666009048814</v>
      </c>
    </row>
    <row r="640" spans="1:3" x14ac:dyDescent="0.25">
      <c r="A640" s="74">
        <v>638</v>
      </c>
      <c r="B640" s="74">
        <v>93.313500687157571</v>
      </c>
      <c r="C640" s="74">
        <v>234.53394815997572</v>
      </c>
    </row>
    <row r="641" spans="1:3" x14ac:dyDescent="0.25">
      <c r="A641" s="74">
        <v>639</v>
      </c>
      <c r="B641" s="74">
        <v>92.946461761172159</v>
      </c>
      <c r="C641" s="74">
        <v>234.40083190978655</v>
      </c>
    </row>
    <row r="642" spans="1:3" x14ac:dyDescent="0.25">
      <c r="A642" s="74">
        <v>640</v>
      </c>
      <c r="B642" s="74">
        <v>92.577054862822749</v>
      </c>
      <c r="C642" s="74">
        <v>234.26731065068847</v>
      </c>
    </row>
    <row r="643" spans="1:3" x14ac:dyDescent="0.25">
      <c r="A643" s="74">
        <v>641</v>
      </c>
      <c r="B643" s="74">
        <v>92.205251531305549</v>
      </c>
      <c r="C643" s="74">
        <v>234.13338368977776</v>
      </c>
    </row>
    <row r="644" spans="1:3" x14ac:dyDescent="0.25">
      <c r="A644" s="74">
        <v>642</v>
      </c>
      <c r="B644" s="74">
        <v>91.831022658754762</v>
      </c>
      <c r="C644" s="74">
        <v>233.99905033045658</v>
      </c>
    </row>
    <row r="645" spans="1:3" x14ac:dyDescent="0.25">
      <c r="A645" s="74">
        <v>643</v>
      </c>
      <c r="B645" s="74">
        <v>91.454338469414964</v>
      </c>
      <c r="C645" s="74">
        <v>233.86430987241036</v>
      </c>
    </row>
    <row r="646" spans="1:3" x14ac:dyDescent="0.25">
      <c r="A646" s="74">
        <v>644</v>
      </c>
      <c r="B646" s="74">
        <v>91.075168497939472</v>
      </c>
      <c r="C646" s="74">
        <v>233.72916161158477</v>
      </c>
    </row>
    <row r="647" spans="1:3" x14ac:dyDescent="0.25">
      <c r="A647" s="74">
        <v>645</v>
      </c>
      <c r="B647" s="74">
        <v>90.693481566769734</v>
      </c>
      <c r="C647" s="74">
        <v>233.59360484016298</v>
      </c>
    </row>
    <row r="648" spans="1:3" x14ac:dyDescent="0.25">
      <c r="A648" s="74">
        <v>646</v>
      </c>
      <c r="B648" s="74">
        <v>90.309245762546965</v>
      </c>
      <c r="C648" s="74">
        <v>233.45763884654207</v>
      </c>
    </row>
    <row r="649" spans="1:3" x14ac:dyDescent="0.25">
      <c r="A649" s="74">
        <v>647</v>
      </c>
      <c r="B649" s="74">
        <v>89.922428411505834</v>
      </c>
      <c r="C649" s="74">
        <v>233.32126291530969</v>
      </c>
    </row>
    <row r="650" spans="1:3" x14ac:dyDescent="0.25">
      <c r="A650" s="74">
        <v>648</v>
      </c>
      <c r="B650" s="74">
        <v>89.532996053794875</v>
      </c>
      <c r="C650" s="74">
        <v>233.18447632722035</v>
      </c>
    </row>
    <row r="651" spans="1:3" x14ac:dyDescent="0.25">
      <c r="A651" s="74">
        <v>649</v>
      </c>
      <c r="B651" s="74">
        <v>89.140914416666618</v>
      </c>
      <c r="C651" s="74">
        <v>233.04727835917177</v>
      </c>
    </row>
    <row r="652" spans="1:3" x14ac:dyDescent="0.25">
      <c r="A652" s="74">
        <v>650</v>
      </c>
      <c r="B652" s="74">
        <v>88.746148386475284</v>
      </c>
      <c r="C652" s="74">
        <v>232.90966828418033</v>
      </c>
    </row>
    <row r="653" spans="1:3" x14ac:dyDescent="0.25">
      <c r="A653" s="74">
        <v>651</v>
      </c>
      <c r="B653" s="74">
        <v>88.348661979416946</v>
      </c>
      <c r="C653" s="74">
        <v>232.77164537135724</v>
      </c>
    </row>
    <row r="654" spans="1:3" x14ac:dyDescent="0.25">
      <c r="A654" s="74">
        <v>652</v>
      </c>
      <c r="B654" s="74">
        <v>87.948418310941946</v>
      </c>
      <c r="C654" s="74">
        <v>232.6332088858837</v>
      </c>
    </row>
    <row r="655" spans="1:3" x14ac:dyDescent="0.25">
      <c r="A655" s="74">
        <v>653</v>
      </c>
      <c r="B655" s="74">
        <v>87.545379563765465</v>
      </c>
      <c r="C655" s="74">
        <v>232.49435808898647</v>
      </c>
    </row>
    <row r="656" spans="1:3" x14ac:dyDescent="0.25">
      <c r="A656" s="74">
        <v>654</v>
      </c>
      <c r="B656" s="74">
        <v>87.139506954396268</v>
      </c>
      <c r="C656" s="74">
        <v>232.35509223791263</v>
      </c>
    </row>
    <row r="657" spans="1:3" x14ac:dyDescent="0.25">
      <c r="A657" s="74">
        <v>655</v>
      </c>
      <c r="B657" s="74">
        <v>86.730760698099246</v>
      </c>
      <c r="C657" s="74">
        <v>232.21541058590458</v>
      </c>
    </row>
    <row r="658" spans="1:3" x14ac:dyDescent="0.25">
      <c r="A658" s="74">
        <v>656</v>
      </c>
      <c r="B658" s="74">
        <v>86.319099972200917</v>
      </c>
      <c r="C658" s="74">
        <v>232.07531238217467</v>
      </c>
    </row>
    <row r="659" spans="1:3" x14ac:dyDescent="0.25">
      <c r="A659" s="74">
        <v>657</v>
      </c>
      <c r="B659" s="74">
        <v>85.904482877640618</v>
      </c>
      <c r="C659" s="74">
        <v>231.93479687187948</v>
      </c>
    </row>
    <row r="660" spans="1:3" x14ac:dyDescent="0.25">
      <c r="A660" s="74">
        <v>658</v>
      </c>
      <c r="B660" s="74">
        <v>85.486866398664191</v>
      </c>
      <c r="C660" s="74">
        <v>231.79386329609417</v>
      </c>
    </row>
    <row r="661" spans="1:3" x14ac:dyDescent="0.25">
      <c r="A661" s="74">
        <v>659</v>
      </c>
      <c r="B661" s="74">
        <v>85.066206360548634</v>
      </c>
      <c r="C661" s="74">
        <v>231.65251089178625</v>
      </c>
    </row>
    <row r="662" spans="1:3" x14ac:dyDescent="0.25">
      <c r="A662" s="74">
        <v>660</v>
      </c>
      <c r="B662" s="74">
        <v>84.642457385239027</v>
      </c>
      <c r="C662" s="74">
        <v>231.51073889178926</v>
      </c>
    </row>
    <row r="663" spans="1:3" x14ac:dyDescent="0.25">
      <c r="A663" s="74">
        <v>661</v>
      </c>
      <c r="B663" s="74">
        <v>84.215572844769866</v>
      </c>
      <c r="C663" s="74">
        <v>231.36854652477649</v>
      </c>
    </row>
    <row r="664" spans="1:3" x14ac:dyDescent="0.25">
      <c r="A664" s="74">
        <v>662</v>
      </c>
      <c r="B664" s="74">
        <v>83.785504812334054</v>
      </c>
      <c r="C664" s="74">
        <v>231.22593301523389</v>
      </c>
    </row>
    <row r="665" spans="1:3" x14ac:dyDescent="0.25">
      <c r="A665" s="74">
        <v>663</v>
      </c>
      <c r="B665" s="74">
        <v>83.352204010852276</v>
      </c>
      <c r="C665" s="74">
        <v>231.08289758343338</v>
      </c>
    </row>
    <row r="666" spans="1:3" x14ac:dyDescent="0.25">
      <c r="A666" s="74">
        <v>664</v>
      </c>
      <c r="B666" s="74">
        <v>82.915619758885001</v>
      </c>
      <c r="C666" s="74">
        <v>230.9394394454053</v>
      </c>
    </row>
    <row r="667" spans="1:3" x14ac:dyDescent="0.25">
      <c r="A667" s="74">
        <v>665</v>
      </c>
      <c r="B667" s="74">
        <v>82.475699913716625</v>
      </c>
      <c r="C667" s="74">
        <v>230.79555781291123</v>
      </c>
    </row>
    <row r="668" spans="1:3" x14ac:dyDescent="0.25">
      <c r="A668" s="74">
        <v>666</v>
      </c>
      <c r="B668" s="74">
        <v>82.032390811429153</v>
      </c>
      <c r="C668" s="74">
        <v>230.65125189341592</v>
      </c>
    </row>
    <row r="669" spans="1:3" x14ac:dyDescent="0.25">
      <c r="A669" s="74">
        <v>667</v>
      </c>
      <c r="B669" s="74">
        <v>81.585637203767874</v>
      </c>
      <c r="C669" s="74">
        <v>230.50652089005968</v>
      </c>
    </row>
    <row r="670" spans="1:3" x14ac:dyDescent="0.25">
      <c r="A670" s="74">
        <v>668</v>
      </c>
      <c r="B670" s="74">
        <v>81.135382191586402</v>
      </c>
      <c r="C670" s="74">
        <v>230.36136400162977</v>
      </c>
    </row>
    <row r="671" spans="1:3" x14ac:dyDescent="0.25">
      <c r="A671" s="74">
        <v>669</v>
      </c>
      <c r="B671" s="74">
        <v>80.681567154641542</v>
      </c>
      <c r="C671" s="74">
        <v>230.21578042253219</v>
      </c>
    </row>
    <row r="672" spans="1:3" x14ac:dyDescent="0.25">
      <c r="A672" s="74">
        <v>670</v>
      </c>
      <c r="B672" s="74">
        <v>80.22413167748995</v>
      </c>
      <c r="C672" s="74">
        <v>230.06976934276284</v>
      </c>
    </row>
    <row r="673" spans="1:3" x14ac:dyDescent="0.25">
      <c r="A673" s="74">
        <v>671</v>
      </c>
      <c r="B673" s="74">
        <v>79.763013471218201</v>
      </c>
      <c r="C673" s="74">
        <v>229.92332994787847</v>
      </c>
    </row>
    <row r="674" spans="1:3" x14ac:dyDescent="0.25">
      <c r="A674" s="74">
        <v>672</v>
      </c>
      <c r="B674" s="74">
        <v>79.298148290716071</v>
      </c>
      <c r="C674" s="74">
        <v>229.77646141896739</v>
      </c>
    </row>
    <row r="675" spans="1:3" x14ac:dyDescent="0.25">
      <c r="A675" s="74">
        <v>673</v>
      </c>
      <c r="B675" s="74">
        <v>78.829469847178586</v>
      </c>
      <c r="C675" s="74">
        <v>229.62916293262012</v>
      </c>
    </row>
    <row r="676" spans="1:3" x14ac:dyDescent="0.25">
      <c r="A676" s="74">
        <v>674</v>
      </c>
      <c r="B676" s="74">
        <v>78.356909715495092</v>
      </c>
      <c r="C676" s="74">
        <v>229.48143366089931</v>
      </c>
    </row>
    <row r="677" spans="1:3" x14ac:dyDescent="0.25">
      <c r="A677" s="74">
        <v>675</v>
      </c>
      <c r="B677" s="74">
        <v>77.880397236155886</v>
      </c>
      <c r="C677" s="74">
        <v>229.33327277130982</v>
      </c>
    </row>
    <row r="678" spans="1:3" x14ac:dyDescent="0.25">
      <c r="A678" s="74">
        <v>676</v>
      </c>
      <c r="B678" s="74">
        <v>77.399859411272857</v>
      </c>
      <c r="C678" s="74">
        <v>229.18467942676844</v>
      </c>
    </row>
    <row r="679" spans="1:3" x14ac:dyDescent="0.25">
      <c r="A679" s="74">
        <v>677</v>
      </c>
      <c r="B679" s="74">
        <v>76.915220794276749</v>
      </c>
      <c r="C679" s="74">
        <v>229.03565278557309</v>
      </c>
    </row>
    <row r="680" spans="1:3" x14ac:dyDescent="0.25">
      <c r="A680" s="74">
        <v>678</v>
      </c>
      <c r="B680" s="74">
        <v>76.42640337281388</v>
      </c>
      <c r="C680" s="74">
        <v>228.88619200137191</v>
      </c>
    </row>
    <row r="681" spans="1:3" x14ac:dyDescent="0.25">
      <c r="A681" s="74">
        <v>679</v>
      </c>
      <c r="B681" s="74">
        <v>75.933326444321821</v>
      </c>
      <c r="C681" s="74">
        <v>228.73629622313234</v>
      </c>
    </row>
    <row r="682" spans="1:3" x14ac:dyDescent="0.25">
      <c r="A682" s="74">
        <v>680</v>
      </c>
      <c r="B682" s="74">
        <v>75.435906483716423</v>
      </c>
      <c r="C682" s="74">
        <v>228.58596459510926</v>
      </c>
    </row>
    <row r="683" spans="1:3" x14ac:dyDescent="0.25">
      <c r="A683" s="74">
        <v>681</v>
      </c>
      <c r="B683" s="74">
        <v>74.934057002568935</v>
      </c>
      <c r="C683" s="74">
        <v>228.43519625681347</v>
      </c>
    </row>
    <row r="684" spans="1:3" x14ac:dyDescent="0.25">
      <c r="A684" s="74">
        <v>682</v>
      </c>
      <c r="B684" s="74">
        <v>74.427688399094237</v>
      </c>
      <c r="C684" s="74">
        <v>228.28399034297954</v>
      </c>
    </row>
    <row r="685" spans="1:3" x14ac:dyDescent="0.25">
      <c r="A685" s="74">
        <v>683</v>
      </c>
      <c r="B685" s="74">
        <v>73.916707798205252</v>
      </c>
      <c r="C685" s="74">
        <v>228.13234598353347</v>
      </c>
    </row>
    <row r="686" spans="1:3" x14ac:dyDescent="0.25">
      <c r="A686" s="74">
        <v>684</v>
      </c>
      <c r="B686" s="74">
        <v>73.401018880816792</v>
      </c>
      <c r="C686" s="74">
        <v>227.98026230355995</v>
      </c>
    </row>
    <row r="687" spans="1:3" x14ac:dyDescent="0.25">
      <c r="A687" s="74">
        <v>685</v>
      </c>
      <c r="B687" s="74">
        <v>72.880521701501038</v>
      </c>
      <c r="C687" s="74">
        <v>227.82773842326952</v>
      </c>
    </row>
    <row r="688" spans="1:3" x14ac:dyDescent="0.25">
      <c r="A688" s="74">
        <v>686</v>
      </c>
      <c r="B688" s="74">
        <v>72.355112493507178</v>
      </c>
      <c r="C688" s="74">
        <v>227.67477345796527</v>
      </c>
    </row>
    <row r="689" spans="1:3" x14ac:dyDescent="0.25">
      <c r="A689" s="74">
        <v>687</v>
      </c>
      <c r="B689" s="74">
        <v>71.824683460056903</v>
      </c>
      <c r="C689" s="74">
        <v>227.52136651800907</v>
      </c>
    </row>
    <row r="690" spans="1:3" x14ac:dyDescent="0.25">
      <c r="A690" s="74">
        <v>688</v>
      </c>
      <c r="B690" s="74">
        <v>71.289122550714836</v>
      </c>
      <c r="C690" s="74">
        <v>227.367516708788</v>
      </c>
    </row>
    <row r="691" spans="1:3" x14ac:dyDescent="0.25">
      <c r="A691" s="74">
        <v>689</v>
      </c>
      <c r="B691" s="74">
        <v>70.748313221507132</v>
      </c>
      <c r="C691" s="74">
        <v>227.21322313067984</v>
      </c>
    </row>
    <row r="692" spans="1:3" x14ac:dyDescent="0.25">
      <c r="A692" s="74">
        <v>690</v>
      </c>
      <c r="B692" s="74">
        <v>70.202134177318968</v>
      </c>
      <c r="C692" s="74">
        <v>227.05848487901869</v>
      </c>
    </row>
    <row r="693" spans="1:3" x14ac:dyDescent="0.25">
      <c r="A693" s="74">
        <v>691</v>
      </c>
      <c r="B693" s="74">
        <v>69.650459094942732</v>
      </c>
      <c r="C693" s="74">
        <v>226.90330104406007</v>
      </c>
    </row>
    <row r="694" spans="1:3" x14ac:dyDescent="0.25">
      <c r="A694" s="74">
        <v>692</v>
      </c>
      <c r="B694" s="74">
        <v>69.093156324967936</v>
      </c>
      <c r="C694" s="74">
        <v>226.74767071094578</v>
      </c>
    </row>
    <row r="695" spans="1:3" x14ac:dyDescent="0.25">
      <c r="A695" s="74">
        <v>693</v>
      </c>
      <c r="B695" s="74">
        <v>68.530088570501633</v>
      </c>
      <c r="C695" s="74">
        <v>226.5915929596683</v>
      </c>
    </row>
    <row r="696" spans="1:3" x14ac:dyDescent="0.25">
      <c r="A696" s="74">
        <v>694</v>
      </c>
      <c r="B696" s="74">
        <v>67.961112540476549</v>
      </c>
      <c r="C696" s="74">
        <v>226.43506686503494</v>
      </c>
    </row>
    <row r="697" spans="1:3" x14ac:dyDescent="0.25">
      <c r="A697" s="74">
        <v>695</v>
      </c>
      <c r="B697" s="74">
        <v>67.386078575044067</v>
      </c>
      <c r="C697" s="74">
        <v>226.2780914966317</v>
      </c>
    </row>
    <row r="698" spans="1:3" x14ac:dyDescent="0.25">
      <c r="A698" s="74">
        <v>696</v>
      </c>
      <c r="B698" s="74">
        <v>66.80483024025196</v>
      </c>
      <c r="C698" s="74">
        <v>226.12066591878673</v>
      </c>
    </row>
    <row r="699" spans="1:3" x14ac:dyDescent="0.25">
      <c r="A699" s="74">
        <v>697</v>
      </c>
      <c r="B699" s="74">
        <v>66.217203888868056</v>
      </c>
      <c r="C699" s="74">
        <v>225.96278919053339</v>
      </c>
    </row>
    <row r="700" spans="1:3" x14ac:dyDescent="0.25">
      <c r="A700" s="74">
        <v>698</v>
      </c>
      <c r="B700" s="74">
        <v>65.623028183825397</v>
      </c>
      <c r="C700" s="74">
        <v>225.80446036557305</v>
      </c>
    </row>
    <row r="701" spans="1:3" x14ac:dyDescent="0.25">
      <c r="A701" s="74">
        <v>699</v>
      </c>
      <c r="B701" s="74">
        <v>65.022123580321008</v>
      </c>
      <c r="C701" s="74">
        <v>225.64567849223752</v>
      </c>
    </row>
    <row r="702" spans="1:3" x14ac:dyDescent="0.25">
      <c r="A702" s="74">
        <v>700</v>
      </c>
      <c r="B702" s="74">
        <v>64.414301762093999</v>
      </c>
      <c r="C702" s="74">
        <v>225.486442613451</v>
      </c>
    </row>
    <row r="703" spans="1:3" x14ac:dyDescent="0.25">
      <c r="A703" s="74">
        <v>701</v>
      </c>
      <c r="B703" s="74">
        <v>63.799365026823359</v>
      </c>
      <c r="C703" s="74">
        <v>225.32675176669193</v>
      </c>
    </row>
    <row r="704" spans="1:3" x14ac:dyDescent="0.25">
      <c r="A704" s="74">
        <v>702</v>
      </c>
      <c r="B704" s="74">
        <v>63.177105614912207</v>
      </c>
      <c r="C704" s="74">
        <v>225.16660498395404</v>
      </c>
    </row>
    <row r="705" spans="1:3" x14ac:dyDescent="0.25">
      <c r="A705" s="74">
        <v>703</v>
      </c>
      <c r="B705" s="74">
        <v>62.547304975145543</v>
      </c>
      <c r="C705" s="74">
        <v>225.00600129170766</v>
      </c>
    </row>
    <row r="706" spans="1:3" x14ac:dyDescent="0.25">
      <c r="A706" s="74">
        <v>704</v>
      </c>
      <c r="B706" s="74">
        <v>61.909732959803144</v>
      </c>
      <c r="C706" s="74">
        <v>224.84493971085996</v>
      </c>
    </row>
    <row r="707" spans="1:3" x14ac:dyDescent="0.25">
      <c r="A707" s="74">
        <v>705</v>
      </c>
      <c r="B707" s="74">
        <v>61.264146940756319</v>
      </c>
      <c r="C707" s="74">
        <v>224.68341925671527</v>
      </c>
    </row>
    <row r="708" spans="1:3" x14ac:dyDescent="0.25">
      <c r="A708" s="74">
        <v>706</v>
      </c>
      <c r="B708" s="74">
        <v>60.610290836847192</v>
      </c>
      <c r="C708" s="74">
        <v>224.52143893893489</v>
      </c>
    </row>
    <row r="709" spans="1:3" x14ac:dyDescent="0.25">
      <c r="A709" s="74">
        <v>707</v>
      </c>
      <c r="B709" s="74">
        <v>59.947894041408993</v>
      </c>
      <c r="C709" s="74">
        <v>224.35899776149657</v>
      </c>
    </row>
    <row r="710" spans="1:3" x14ac:dyDescent="0.25">
      <c r="A710" s="74">
        <v>708</v>
      </c>
      <c r="B710" s="74">
        <v>59.276670237092198</v>
      </c>
      <c r="C710" s="74">
        <v>224.19609472265321</v>
      </c>
    </row>
    <row r="711" spans="1:3" x14ac:dyDescent="0.25">
      <c r="A711" s="74">
        <v>709</v>
      </c>
      <c r="B711" s="74">
        <v>58.596316083164446</v>
      </c>
      <c r="C711" s="74">
        <v>224.03272881489195</v>
      </c>
    </row>
    <row r="712" spans="1:3" x14ac:dyDescent="0.25">
      <c r="A712" s="74">
        <v>710</v>
      </c>
      <c r="B712" s="74">
        <v>57.906509758087132</v>
      </c>
      <c r="C712" s="74">
        <v>223.86889902489199</v>
      </c>
    </row>
    <row r="713" spans="1:3" x14ac:dyDescent="0.25">
      <c r="A713" s="74">
        <v>711</v>
      </c>
      <c r="B713" s="74">
        <v>57.206909337360088</v>
      </c>
      <c r="C713" s="74">
        <v>223.70460433348259</v>
      </c>
    </row>
    <row r="714" spans="1:3" x14ac:dyDescent="0.25">
      <c r="A714" s="74">
        <v>712</v>
      </c>
      <c r="B714" s="74">
        <v>56.497150983271787</v>
      </c>
      <c r="C714" s="74">
        <v>223.53984371560043</v>
      </c>
    </row>
    <row r="715" spans="1:3" x14ac:dyDescent="0.25">
      <c r="A715" s="74">
        <v>713</v>
      </c>
      <c r="B715" s="74">
        <v>55.776846919169401</v>
      </c>
      <c r="C715" s="74">
        <v>223.3746161402465</v>
      </c>
    </row>
    <row r="716" spans="1:3" x14ac:dyDescent="0.25">
      <c r="A716" s="74">
        <v>714</v>
      </c>
      <c r="B716" s="74">
        <v>55.045583156021522</v>
      </c>
      <c r="C716" s="74">
        <v>223.20892057044276</v>
      </c>
    </row>
    <row r="717" spans="1:3" x14ac:dyDescent="0.25">
      <c r="A717" s="74">
        <v>715</v>
      </c>
      <c r="B717" s="74">
        <v>54.302916933187632</v>
      </c>
      <c r="C717" s="74">
        <v>223.04275596318817</v>
      </c>
    </row>
    <row r="718" spans="1:3" x14ac:dyDescent="0.25">
      <c r="A718" s="74">
        <v>716</v>
      </c>
      <c r="B718" s="74">
        <v>53.548373828185014</v>
      </c>
      <c r="C718" s="74">
        <v>222.87612126941451</v>
      </c>
    </row>
    <row r="719" spans="1:3" x14ac:dyDescent="0.25">
      <c r="A719" s="74">
        <v>717</v>
      </c>
      <c r="B719" s="74">
        <v>52.78144448153725</v>
      </c>
      <c r="C719" s="74">
        <v>222.70901543394143</v>
      </c>
    </row>
    <row r="720" spans="1:3" x14ac:dyDescent="0.25">
      <c r="A720" s="74">
        <v>718</v>
      </c>
      <c r="B720" s="74">
        <v>52.001580872088148</v>
      </c>
      <c r="C720" s="74">
        <v>222.54143739543133</v>
      </c>
    </row>
    <row r="721" spans="1:3" x14ac:dyDescent="0.25">
      <c r="A721" s="74">
        <v>719</v>
      </c>
      <c r="B721" s="74">
        <v>51.208192064934508</v>
      </c>
      <c r="C721" s="74">
        <v>222.37338608634391</v>
      </c>
    </row>
    <row r="722" spans="1:3" x14ac:dyDescent="0.25">
      <c r="A722" s="74">
        <v>720</v>
      </c>
      <c r="B722" s="74">
        <v>50.400639337674022</v>
      </c>
      <c r="C722" s="74">
        <v>222.20486043288972</v>
      </c>
    </row>
    <row r="723" spans="1:3" x14ac:dyDescent="0.25">
      <c r="A723" s="74">
        <v>721</v>
      </c>
      <c r="B723" s="74">
        <v>49.578230570055098</v>
      </c>
      <c r="C723" s="74">
        <v>222.03585935498387</v>
      </c>
    </row>
    <row r="724" spans="1:3" x14ac:dyDescent="0.25">
      <c r="A724" s="74">
        <v>722</v>
      </c>
      <c r="B724" s="74">
        <v>48.740213756127183</v>
      </c>
      <c r="C724" s="74">
        <v>221.86638176619886</v>
      </c>
    </row>
    <row r="725" spans="1:3" x14ac:dyDescent="0.25">
      <c r="A725" s="74">
        <v>723</v>
      </c>
      <c r="B725" s="74">
        <v>47.885769464973301</v>
      </c>
      <c r="C725" s="74">
        <v>221.69642657371713</v>
      </c>
    </row>
    <row r="726" spans="1:3" x14ac:dyDescent="0.25">
      <c r="A726" s="74">
        <v>724</v>
      </c>
      <c r="B726" s="74">
        <v>47.014002033823338</v>
      </c>
      <c r="C726" s="74">
        <v>221.52599267828316</v>
      </c>
    </row>
    <row r="727" spans="1:3" x14ac:dyDescent="0.25">
      <c r="A727" s="74">
        <v>725</v>
      </c>
      <c r="B727" s="74">
        <v>46.123929222739633</v>
      </c>
      <c r="C727" s="74">
        <v>221.35507897415482</v>
      </c>
    </row>
    <row r="728" spans="1:3" x14ac:dyDescent="0.25">
      <c r="A728" s="74">
        <v>726</v>
      </c>
      <c r="B728" s="74">
        <v>45.214469988892041</v>
      </c>
      <c r="C728" s="74">
        <v>221.1836843490546</v>
      </c>
    </row>
    <row r="729" spans="1:3" x14ac:dyDescent="0.25">
      <c r="A729" s="74">
        <v>727</v>
      </c>
      <c r="B729" s="74">
        <v>44.284429944764113</v>
      </c>
      <c r="C729" s="74">
        <v>221.01180768412007</v>
      </c>
    </row>
    <row r="730" spans="1:3" x14ac:dyDescent="0.25">
      <c r="A730" s="74">
        <v>728</v>
      </c>
      <c r="B730" s="74">
        <v>43.332483940032745</v>
      </c>
      <c r="C730" s="74">
        <v>220.8394478538539</v>
      </c>
    </row>
    <row r="731" spans="1:3" x14ac:dyDescent="0.25">
      <c r="A731" s="74">
        <v>729</v>
      </c>
      <c r="B731" s="74">
        <v>42.357155039235671</v>
      </c>
      <c r="C731" s="74">
        <v>220.66660372607362</v>
      </c>
    </row>
    <row r="732" spans="1:3" x14ac:dyDescent="0.25">
      <c r="A732" s="74">
        <v>730</v>
      </c>
      <c r="B732" s="74">
        <v>41.356788939020319</v>
      </c>
      <c r="C732" s="74">
        <v>220.49327416186028</v>
      </c>
    </row>
    <row r="733" spans="1:3" x14ac:dyDescent="0.25">
      <c r="A733" s="74">
        <v>731</v>
      </c>
      <c r="B733" s="74">
        <v>40.329522553579466</v>
      </c>
      <c r="C733" s="74">
        <v>220.31945801550737</v>
      </c>
    </row>
    <row r="734" spans="1:3" x14ac:dyDescent="0.25">
      <c r="A734" s="74">
        <v>732</v>
      </c>
      <c r="B734" s="74">
        <v>39.273245055340809</v>
      </c>
      <c r="C734" s="74">
        <v>220.14515413446847</v>
      </c>
    </row>
    <row r="735" spans="1:3" x14ac:dyDescent="0.25">
      <c r="A735" s="74">
        <v>733</v>
      </c>
      <c r="B735" s="74">
        <v>38.185549029419541</v>
      </c>
      <c r="C735" s="74">
        <v>219.97036135930497</v>
      </c>
    </row>
    <row r="736" spans="1:3" x14ac:dyDescent="0.25">
      <c r="A736" s="74">
        <v>734</v>
      </c>
      <c r="B736" s="74">
        <v>37.063668489556335</v>
      </c>
      <c r="C736" s="74">
        <v>219.79507852363272</v>
      </c>
    </row>
    <row r="737" spans="1:3" x14ac:dyDescent="0.25">
      <c r="A737" s="74">
        <v>735</v>
      </c>
      <c r="B737" s="74">
        <v>35.904399157393435</v>
      </c>
      <c r="C737" s="74">
        <v>219.61930445406861</v>
      </c>
    </row>
    <row r="738" spans="1:3" x14ac:dyDescent="0.25">
      <c r="A738" s="74">
        <v>736</v>
      </c>
      <c r="B738" s="74">
        <v>34.703994374240459</v>
      </c>
      <c r="C738" s="74">
        <v>219.44303797017631</v>
      </c>
    </row>
    <row r="739" spans="1:3" x14ac:dyDescent="0.25">
      <c r="A739" s="74">
        <v>737</v>
      </c>
      <c r="B739" s="74">
        <v>33.4580268683819</v>
      </c>
      <c r="C739" s="74">
        <v>219.26627788441147</v>
      </c>
    </row>
    <row r="740" spans="1:3" x14ac:dyDescent="0.25">
      <c r="A740" s="74">
        <v>738</v>
      </c>
      <c r="B740" s="74">
        <v>32.161201595207729</v>
      </c>
      <c r="C740" s="74">
        <v>219.08902300206645</v>
      </c>
    </row>
    <row r="741" spans="1:3" x14ac:dyDescent="0.25">
      <c r="A741" s="74">
        <v>739</v>
      </c>
      <c r="B741" s="74">
        <v>30.807096648239956</v>
      </c>
      <c r="C741" s="74">
        <v>218.91127212121444</v>
      </c>
    </row>
    <row r="742" spans="1:3" x14ac:dyDescent="0.25">
      <c r="A742" s="74">
        <v>740</v>
      </c>
      <c r="B742" s="74">
        <v>29.387795246744446</v>
      </c>
      <c r="C742" s="74">
        <v>218.73302403265296</v>
      </c>
    </row>
    <row r="743" spans="1:3" x14ac:dyDescent="0.25">
      <c r="A743" s="74">
        <v>741</v>
      </c>
      <c r="B743" s="74">
        <v>27.893346962301411</v>
      </c>
      <c r="C743" s="74">
        <v>218.55427751984681</v>
      </c>
    </row>
    <row r="744" spans="1:3" x14ac:dyDescent="0.25">
      <c r="A744" s="74">
        <v>742</v>
      </c>
      <c r="B744" s="74">
        <v>26.310949997638975</v>
      </c>
      <c r="C744" s="74">
        <v>218.37503135887047</v>
      </c>
    </row>
    <row r="745" spans="1:3" x14ac:dyDescent="0.25">
      <c r="A745" s="74">
        <v>743</v>
      </c>
      <c r="B745" s="74">
        <v>24.623654572816019</v>
      </c>
      <c r="C745" s="74">
        <v>218.19528431834965</v>
      </c>
    </row>
    <row r="746" spans="1:3" x14ac:dyDescent="0.25">
      <c r="A746" s="74">
        <v>744</v>
      </c>
      <c r="B746" s="74">
        <v>22.808192146433775</v>
      </c>
      <c r="C746" s="74">
        <v>218.01503515940263</v>
      </c>
    </row>
    <row r="747" spans="1:3" x14ac:dyDescent="0.25">
      <c r="A747" s="74">
        <v>745</v>
      </c>
      <c r="B747" s="74">
        <v>20.831079741100712</v>
      </c>
      <c r="C747" s="74">
        <v>217.83428263558062</v>
      </c>
    </row>
    <row r="748" spans="1:3" x14ac:dyDescent="0.25">
      <c r="A748" s="74">
        <v>746</v>
      </c>
      <c r="B748" s="74">
        <v>18.640952955676052</v>
      </c>
      <c r="C748" s="74">
        <v>217.65302549280781</v>
      </c>
    </row>
    <row r="749" spans="1:3" x14ac:dyDescent="0.25">
      <c r="A749" s="74">
        <v>747</v>
      </c>
      <c r="B749" s="74">
        <v>16.151388817545442</v>
      </c>
      <c r="C749" s="74">
        <v>217.47126246932032</v>
      </c>
    </row>
    <row r="750" spans="1:3" x14ac:dyDescent="0.25">
      <c r="A750" s="74">
        <v>748</v>
      </c>
      <c r="B750" s="74">
        <v>13.193960137104936</v>
      </c>
      <c r="C750" s="74">
        <v>217.28899229560503</v>
      </c>
    </row>
    <row r="751" spans="1:3" x14ac:dyDescent="0.25">
      <c r="A751" s="74">
        <v>749</v>
      </c>
      <c r="B751" s="74">
        <v>9.3340664872106682</v>
      </c>
      <c r="C751" s="74">
        <v>217.10621369433753</v>
      </c>
    </row>
    <row r="752" spans="1:3" x14ac:dyDescent="0.25">
      <c r="A752" s="74">
        <v>750</v>
      </c>
      <c r="B752" s="74">
        <v>0</v>
      </c>
      <c r="C752" s="74">
        <v>216.92292538031924</v>
      </c>
    </row>
    <row r="753" spans="1:3" x14ac:dyDescent="0.25">
      <c r="A753" s="74">
        <v>751</v>
      </c>
      <c r="B753" s="74" t="s">
        <v>110</v>
      </c>
      <c r="C753" s="74">
        <v>216.73912606041415</v>
      </c>
    </row>
    <row r="754" spans="1:3" x14ac:dyDescent="0.25">
      <c r="A754" s="74">
        <v>752</v>
      </c>
      <c r="B754" s="74" t="s">
        <v>110</v>
      </c>
      <c r="C754" s="74">
        <v>216.55481443348467</v>
      </c>
    </row>
    <row r="755" spans="1:3" x14ac:dyDescent="0.25">
      <c r="A755" s="74">
        <v>753</v>
      </c>
      <c r="B755" s="74" t="s">
        <v>110</v>
      </c>
      <c r="C755" s="74">
        <v>216.369989190327</v>
      </c>
    </row>
    <row r="756" spans="1:3" x14ac:dyDescent="0.25">
      <c r="A756" s="74">
        <v>754</v>
      </c>
      <c r="B756" s="74" t="s">
        <v>110</v>
      </c>
      <c r="C756" s="74">
        <v>216.18464901360551</v>
      </c>
    </row>
    <row r="757" spans="1:3" x14ac:dyDescent="0.25">
      <c r="A757" s="74">
        <v>755</v>
      </c>
      <c r="B757" s="74" t="s">
        <v>110</v>
      </c>
      <c r="C757" s="74">
        <v>215.9987925777867</v>
      </c>
    </row>
    <row r="758" spans="1:3" x14ac:dyDescent="0.25">
      <c r="A758" s="74">
        <v>756</v>
      </c>
      <c r="B758" s="74" t="s">
        <v>110</v>
      </c>
      <c r="C758" s="74">
        <v>215.81241854907239</v>
      </c>
    </row>
    <row r="759" spans="1:3" x14ac:dyDescent="0.25">
      <c r="A759" s="74">
        <v>757</v>
      </c>
      <c r="B759" s="74" t="s">
        <v>110</v>
      </c>
      <c r="C759" s="74">
        <v>215.62552558533187</v>
      </c>
    </row>
    <row r="760" spans="1:3" x14ac:dyDescent="0.25">
      <c r="A760" s="74">
        <v>758</v>
      </c>
      <c r="B760" s="74" t="s">
        <v>110</v>
      </c>
      <c r="C760" s="74">
        <v>215.43811233603395</v>
      </c>
    </row>
    <row r="761" spans="1:3" x14ac:dyDescent="0.25">
      <c r="A761" s="74">
        <v>759</v>
      </c>
      <c r="B761" s="74" t="s">
        <v>110</v>
      </c>
      <c r="C761" s="74">
        <v>215.25017744217746</v>
      </c>
    </row>
    <row r="762" spans="1:3" x14ac:dyDescent="0.25">
      <c r="A762" s="74">
        <v>760</v>
      </c>
      <c r="B762" s="74" t="s">
        <v>110</v>
      </c>
      <c r="C762" s="74">
        <v>215.06171953622186</v>
      </c>
    </row>
    <row r="763" spans="1:3" x14ac:dyDescent="0.25">
      <c r="A763" s="74">
        <v>761</v>
      </c>
      <c r="B763" s="74" t="s">
        <v>110</v>
      </c>
      <c r="C763" s="74">
        <v>214.87273724201623</v>
      </c>
    </row>
    <row r="764" spans="1:3" x14ac:dyDescent="0.25">
      <c r="A764" s="74">
        <v>762</v>
      </c>
      <c r="B764" s="74" t="s">
        <v>110</v>
      </c>
      <c r="C764" s="74">
        <v>214.68322917472824</v>
      </c>
    </row>
    <row r="765" spans="1:3" x14ac:dyDescent="0.25">
      <c r="A765" s="74">
        <v>763</v>
      </c>
      <c r="B765" s="74" t="s">
        <v>110</v>
      </c>
      <c r="C765" s="74">
        <v>214.49319394077187</v>
      </c>
    </row>
    <row r="766" spans="1:3" x14ac:dyDescent="0.25">
      <c r="A766" s="74">
        <v>764</v>
      </c>
      <c r="B766" s="74" t="s">
        <v>110</v>
      </c>
      <c r="C766" s="74">
        <v>214.30263013773447</v>
      </c>
    </row>
    <row r="767" spans="1:3" x14ac:dyDescent="0.25">
      <c r="A767" s="74">
        <v>765</v>
      </c>
      <c r="B767" s="74" t="s">
        <v>110</v>
      </c>
      <c r="C767" s="74">
        <v>214.11153635430296</v>
      </c>
    </row>
    <row r="768" spans="1:3" x14ac:dyDescent="0.25">
      <c r="A768" s="74">
        <v>766</v>
      </c>
      <c r="B768" s="74" t="s">
        <v>110</v>
      </c>
      <c r="C768" s="74">
        <v>213.91991117018941</v>
      </c>
    </row>
    <row r="769" spans="1:3" x14ac:dyDescent="0.25">
      <c r="A769" s="74">
        <v>767</v>
      </c>
      <c r="B769" s="74" t="s">
        <v>110</v>
      </c>
      <c r="C769" s="74">
        <v>213.72775315605551</v>
      </c>
    </row>
    <row r="770" spans="1:3" x14ac:dyDescent="0.25">
      <c r="A770" s="74">
        <v>768</v>
      </c>
      <c r="B770" s="74" t="s">
        <v>110</v>
      </c>
      <c r="C770" s="74">
        <v>213.53506087343649</v>
      </c>
    </row>
    <row r="771" spans="1:3" x14ac:dyDescent="0.25">
      <c r="A771" s="74">
        <v>769</v>
      </c>
      <c r="B771" s="74" t="s">
        <v>110</v>
      </c>
      <c r="C771" s="74">
        <v>213.34183287466382</v>
      </c>
    </row>
    <row r="772" spans="1:3" x14ac:dyDescent="0.25">
      <c r="A772" s="74">
        <v>770</v>
      </c>
      <c r="B772" s="74" t="s">
        <v>110</v>
      </c>
      <c r="C772" s="74">
        <v>213.14806770278756</v>
      </c>
    </row>
    <row r="773" spans="1:3" x14ac:dyDescent="0.25">
      <c r="A773" s="74">
        <v>771</v>
      </c>
      <c r="B773" s="74" t="s">
        <v>110</v>
      </c>
      <c r="C773" s="74">
        <v>212.95376389149726</v>
      </c>
    </row>
    <row r="774" spans="1:3" x14ac:dyDescent="0.25">
      <c r="A774" s="74">
        <v>772</v>
      </c>
      <c r="B774" s="74" t="s">
        <v>110</v>
      </c>
      <c r="C774" s="74">
        <v>212.75891996504251</v>
      </c>
    </row>
    <row r="775" spans="1:3" x14ac:dyDescent="0.25">
      <c r="A775" s="74">
        <v>773</v>
      </c>
      <c r="B775" s="74" t="s">
        <v>110</v>
      </c>
      <c r="C775" s="74">
        <v>212.56353443815217</v>
      </c>
    </row>
    <row r="776" spans="1:3" x14ac:dyDescent="0.25">
      <c r="A776" s="74">
        <v>774</v>
      </c>
      <c r="B776" s="74" t="s">
        <v>110</v>
      </c>
      <c r="C776" s="74">
        <v>212.36760581595303</v>
      </c>
    </row>
    <row r="777" spans="1:3" x14ac:dyDescent="0.25">
      <c r="A777" s="74">
        <v>775</v>
      </c>
      <c r="B777" s="74" t="s">
        <v>110</v>
      </c>
      <c r="C777" s="74">
        <v>212.17113259388714</v>
      </c>
    </row>
    <row r="778" spans="1:3" x14ac:dyDescent="0.25">
      <c r="A778" s="74">
        <v>776</v>
      </c>
      <c r="B778" s="74" t="s">
        <v>110</v>
      </c>
      <c r="C778" s="74">
        <v>211.97411325762877</v>
      </c>
    </row>
    <row r="779" spans="1:3" x14ac:dyDescent="0.25">
      <c r="A779" s="74">
        <v>777</v>
      </c>
      <c r="B779" s="74" t="s">
        <v>110</v>
      </c>
      <c r="C779" s="74">
        <v>211.77654628299979</v>
      </c>
    </row>
    <row r="780" spans="1:3" x14ac:dyDescent="0.25">
      <c r="A780" s="74">
        <v>778</v>
      </c>
      <c r="B780" s="74" t="s">
        <v>110</v>
      </c>
      <c r="C780" s="74">
        <v>211.57843013588467</v>
      </c>
    </row>
    <row r="781" spans="1:3" x14ac:dyDescent="0.25">
      <c r="A781" s="74">
        <v>779</v>
      </c>
      <c r="B781" s="74" t="s">
        <v>110</v>
      </c>
      <c r="C781" s="74">
        <v>211.37976327214403</v>
      </c>
    </row>
    <row r="782" spans="1:3" x14ac:dyDescent="0.25">
      <c r="A782" s="74">
        <v>780</v>
      </c>
      <c r="B782" s="74" t="s">
        <v>110</v>
      </c>
      <c r="C782" s="74">
        <v>211.18054413752753</v>
      </c>
    </row>
    <row r="783" spans="1:3" x14ac:dyDescent="0.25">
      <c r="A783" s="74">
        <v>781</v>
      </c>
      <c r="B783" s="74" t="s">
        <v>110</v>
      </c>
      <c r="C783" s="74">
        <v>210.98077116758566</v>
      </c>
    </row>
    <row r="784" spans="1:3" x14ac:dyDescent="0.25">
      <c r="A784" s="74">
        <v>782</v>
      </c>
      <c r="B784" s="74" t="s">
        <v>110</v>
      </c>
      <c r="C784" s="74">
        <v>210.78044278758026</v>
      </c>
    </row>
    <row r="785" spans="1:3" x14ac:dyDescent="0.25">
      <c r="A785" s="74">
        <v>783</v>
      </c>
      <c r="B785" s="74" t="s">
        <v>110</v>
      </c>
      <c r="C785" s="74">
        <v>210.57955741239462</v>
      </c>
    </row>
    <row r="786" spans="1:3" x14ac:dyDescent="0.25">
      <c r="A786" s="74">
        <v>784</v>
      </c>
      <c r="B786" s="74" t="s">
        <v>110</v>
      </c>
      <c r="C786" s="74">
        <v>210.37811344644183</v>
      </c>
    </row>
    <row r="787" spans="1:3" x14ac:dyDescent="0.25">
      <c r="A787" s="74">
        <v>785</v>
      </c>
      <c r="B787" s="74" t="s">
        <v>110</v>
      </c>
      <c r="C787" s="74">
        <v>210.1761092835726</v>
      </c>
    </row>
    <row r="788" spans="1:3" x14ac:dyDescent="0.25">
      <c r="A788" s="74">
        <v>786</v>
      </c>
      <c r="B788" s="74" t="s">
        <v>110</v>
      </c>
      <c r="C788" s="74">
        <v>209.97354330698161</v>
      </c>
    </row>
    <row r="789" spans="1:3" x14ac:dyDescent="0.25">
      <c r="A789" s="74">
        <v>787</v>
      </c>
      <c r="B789" s="74" t="s">
        <v>110</v>
      </c>
      <c r="C789" s="74">
        <v>209.77041388911323</v>
      </c>
    </row>
    <row r="790" spans="1:3" x14ac:dyDescent="0.25">
      <c r="A790" s="74">
        <v>788</v>
      </c>
      <c r="B790" s="74" t="s">
        <v>110</v>
      </c>
      <c r="C790" s="74">
        <v>209.56671939156564</v>
      </c>
    </row>
    <row r="791" spans="1:3" x14ac:dyDescent="0.25">
      <c r="A791" s="74">
        <v>789</v>
      </c>
      <c r="B791" s="74" t="s">
        <v>110</v>
      </c>
      <c r="C791" s="74">
        <v>209.36245816499405</v>
      </c>
    </row>
    <row r="792" spans="1:3" x14ac:dyDescent="0.25">
      <c r="A792" s="74">
        <v>790</v>
      </c>
      <c r="B792" s="74" t="s">
        <v>110</v>
      </c>
      <c r="C792" s="74">
        <v>209.15762854901303</v>
      </c>
    </row>
    <row r="793" spans="1:3" x14ac:dyDescent="0.25">
      <c r="A793" s="74">
        <v>791</v>
      </c>
      <c r="B793" s="74" t="s">
        <v>110</v>
      </c>
      <c r="C793" s="74">
        <v>208.95222887209718</v>
      </c>
    </row>
    <row r="794" spans="1:3" x14ac:dyDescent="0.25">
      <c r="A794" s="74">
        <v>792</v>
      </c>
      <c r="B794" s="74" t="s">
        <v>110</v>
      </c>
      <c r="C794" s="74">
        <v>208.74625745148103</v>
      </c>
    </row>
    <row r="795" spans="1:3" x14ac:dyDescent="0.25">
      <c r="A795" s="74">
        <v>793</v>
      </c>
      <c r="B795" s="74" t="s">
        <v>110</v>
      </c>
      <c r="C795" s="74">
        <v>208.53971259305757</v>
      </c>
    </row>
    <row r="796" spans="1:3" x14ac:dyDescent="0.25">
      <c r="A796" s="74">
        <v>794</v>
      </c>
      <c r="B796" s="74" t="s">
        <v>110</v>
      </c>
      <c r="C796" s="74">
        <v>208.3325925912757</v>
      </c>
    </row>
    <row r="797" spans="1:3" x14ac:dyDescent="0.25">
      <c r="A797" s="74">
        <v>795</v>
      </c>
      <c r="B797" s="74" t="s">
        <v>110</v>
      </c>
      <c r="C797" s="74">
        <v>208.12489572903627</v>
      </c>
    </row>
    <row r="798" spans="1:3" x14ac:dyDescent="0.25">
      <c r="A798" s="74">
        <v>796</v>
      </c>
      <c r="B798" s="74" t="s">
        <v>110</v>
      </c>
      <c r="C798" s="74">
        <v>207.91662027758704</v>
      </c>
    </row>
    <row r="799" spans="1:3" x14ac:dyDescent="0.25">
      <c r="A799" s="74">
        <v>797</v>
      </c>
      <c r="B799" s="74" t="s">
        <v>110</v>
      </c>
      <c r="C799" s="74">
        <v>207.70776449641636</v>
      </c>
    </row>
    <row r="800" spans="1:3" x14ac:dyDescent="0.25">
      <c r="A800" s="74">
        <v>798</v>
      </c>
      <c r="B800" s="74" t="s">
        <v>110</v>
      </c>
      <c r="C800" s="74">
        <v>207.49832663314552</v>
      </c>
    </row>
    <row r="801" spans="1:3" x14ac:dyDescent="0.25">
      <c r="A801" s="74">
        <v>799</v>
      </c>
      <c r="B801" s="74" t="s">
        <v>110</v>
      </c>
      <c r="C801" s="74">
        <v>207.28830492341987</v>
      </c>
    </row>
    <row r="802" spans="1:3" x14ac:dyDescent="0.25">
      <c r="A802" s="74">
        <v>800</v>
      </c>
      <c r="B802" s="74" t="s">
        <v>110</v>
      </c>
      <c r="C802" s="74">
        <v>207.07769759079844</v>
      </c>
    </row>
    <row r="803" spans="1:3" x14ac:dyDescent="0.25">
      <c r="A803" s="74">
        <v>801</v>
      </c>
      <c r="B803" s="74" t="s">
        <v>110</v>
      </c>
      <c r="C803" s="74">
        <v>206.86650284664262</v>
      </c>
    </row>
    <row r="804" spans="1:3" x14ac:dyDescent="0.25">
      <c r="A804" s="74">
        <v>802</v>
      </c>
      <c r="B804" s="74" t="s">
        <v>110</v>
      </c>
      <c r="C804" s="74">
        <v>206.65471889000301</v>
      </c>
    </row>
    <row r="805" spans="1:3" x14ac:dyDescent="0.25">
      <c r="A805" s="74">
        <v>803</v>
      </c>
      <c r="B805" s="74" t="s">
        <v>110</v>
      </c>
      <c r="C805" s="74">
        <v>206.44234390750532</v>
      </c>
    </row>
    <row r="806" spans="1:3" x14ac:dyDescent="0.25">
      <c r="A806" s="74">
        <v>804</v>
      </c>
      <c r="B806" s="74" t="s">
        <v>110</v>
      </c>
      <c r="C806" s="74">
        <v>206.22937607323445</v>
      </c>
    </row>
    <row r="807" spans="1:3" x14ac:dyDescent="0.25">
      <c r="A807" s="74">
        <v>805</v>
      </c>
      <c r="B807" s="74" t="s">
        <v>110</v>
      </c>
      <c r="C807" s="74">
        <v>206.01581354861759</v>
      </c>
    </row>
    <row r="808" spans="1:3" x14ac:dyDescent="0.25">
      <c r="A808" s="74">
        <v>806</v>
      </c>
      <c r="B808" s="74" t="s">
        <v>110</v>
      </c>
      <c r="C808" s="74">
        <v>205.80165448230568</v>
      </c>
    </row>
    <row r="809" spans="1:3" x14ac:dyDescent="0.25">
      <c r="A809" s="74">
        <v>807</v>
      </c>
      <c r="B809" s="74" t="s">
        <v>110</v>
      </c>
      <c r="C809" s="74">
        <v>205.58689701005321</v>
      </c>
    </row>
    <row r="810" spans="1:3" x14ac:dyDescent="0.25">
      <c r="A810" s="74">
        <v>808</v>
      </c>
      <c r="B810" s="74" t="s">
        <v>110</v>
      </c>
      <c r="C810" s="74">
        <v>205.37153925459697</v>
      </c>
    </row>
    <row r="811" spans="1:3" x14ac:dyDescent="0.25">
      <c r="A811" s="74">
        <v>809</v>
      </c>
      <c r="B811" s="74" t="s">
        <v>110</v>
      </c>
      <c r="C811" s="74">
        <v>205.15557932553298</v>
      </c>
    </row>
    <row r="812" spans="1:3" x14ac:dyDescent="0.25">
      <c r="A812" s="74">
        <v>810</v>
      </c>
      <c r="B812" s="74" t="s">
        <v>110</v>
      </c>
      <c r="C812" s="74">
        <v>204.93901531919198</v>
      </c>
    </row>
    <row r="813" spans="1:3" x14ac:dyDescent="0.25">
      <c r="A813" s="74">
        <v>811</v>
      </c>
      <c r="B813" s="74" t="s">
        <v>110</v>
      </c>
      <c r="C813" s="74">
        <v>204.72184531851332</v>
      </c>
    </row>
    <row r="814" spans="1:3" x14ac:dyDescent="0.25">
      <c r="A814" s="74">
        <v>812</v>
      </c>
      <c r="B814" s="74" t="s">
        <v>110</v>
      </c>
      <c r="C814" s="74">
        <v>204.50406739291742</v>
      </c>
    </row>
    <row r="815" spans="1:3" x14ac:dyDescent="0.25">
      <c r="A815" s="74">
        <v>813</v>
      </c>
      <c r="B815" s="74" t="s">
        <v>110</v>
      </c>
      <c r="C815" s="74">
        <v>204.28567959817664</v>
      </c>
    </row>
    <row r="816" spans="1:3" x14ac:dyDescent="0.25">
      <c r="A816" s="74">
        <v>814</v>
      </c>
      <c r="B816" s="74" t="s">
        <v>110</v>
      </c>
      <c r="C816" s="74">
        <v>204.06667997628423</v>
      </c>
    </row>
    <row r="817" spans="1:3" x14ac:dyDescent="0.25">
      <c r="A817" s="74">
        <v>815</v>
      </c>
      <c r="B817" s="74" t="s">
        <v>110</v>
      </c>
      <c r="C817" s="74">
        <v>203.84706655532199</v>
      </c>
    </row>
    <row r="818" spans="1:3" x14ac:dyDescent="0.25">
      <c r="A818" s="74">
        <v>816</v>
      </c>
      <c r="B818" s="74" t="s">
        <v>110</v>
      </c>
      <c r="C818" s="74">
        <v>203.62683734932602</v>
      </c>
    </row>
    <row r="819" spans="1:3" x14ac:dyDescent="0.25">
      <c r="A819" s="74">
        <v>817</v>
      </c>
      <c r="B819" s="74" t="s">
        <v>110</v>
      </c>
      <c r="C819" s="74">
        <v>203.40599035815106</v>
      </c>
    </row>
    <row r="820" spans="1:3" x14ac:dyDescent="0.25">
      <c r="A820" s="74">
        <v>818</v>
      </c>
      <c r="B820" s="74" t="s">
        <v>110</v>
      </c>
      <c r="C820" s="74">
        <v>203.18452356733263</v>
      </c>
    </row>
    <row r="821" spans="1:3" x14ac:dyDescent="0.25">
      <c r="A821" s="74">
        <v>819</v>
      </c>
      <c r="B821" s="74" t="s">
        <v>110</v>
      </c>
      <c r="C821" s="74">
        <v>202.96243494794794</v>
      </c>
    </row>
    <row r="822" spans="1:3" x14ac:dyDescent="0.25">
      <c r="A822" s="74">
        <v>820</v>
      </c>
      <c r="B822" s="74" t="s">
        <v>110</v>
      </c>
      <c r="C822" s="74">
        <v>202.73972245647471</v>
      </c>
    </row>
    <row r="823" spans="1:3" x14ac:dyDescent="0.25">
      <c r="A823" s="74">
        <v>821</v>
      </c>
      <c r="B823" s="74" t="s">
        <v>110</v>
      </c>
      <c r="C823" s="74">
        <v>202.51638403464827</v>
      </c>
    </row>
    <row r="824" spans="1:3" x14ac:dyDescent="0.25">
      <c r="A824" s="74">
        <v>822</v>
      </c>
      <c r="B824" s="74" t="s">
        <v>110</v>
      </c>
      <c r="C824" s="74">
        <v>202.2924176093168</v>
      </c>
    </row>
    <row r="825" spans="1:3" x14ac:dyDescent="0.25">
      <c r="A825" s="74">
        <v>823</v>
      </c>
      <c r="B825" s="74" t="s">
        <v>110</v>
      </c>
      <c r="C825" s="74">
        <v>202.06782109229479</v>
      </c>
    </row>
    <row r="826" spans="1:3" x14ac:dyDescent="0.25">
      <c r="A826" s="74">
        <v>824</v>
      </c>
      <c r="B826" s="74" t="s">
        <v>110</v>
      </c>
      <c r="C826" s="74">
        <v>201.84259238021451</v>
      </c>
    </row>
    <row r="827" spans="1:3" x14ac:dyDescent="0.25">
      <c r="A827" s="74">
        <v>825</v>
      </c>
      <c r="B827" s="74" t="s">
        <v>110</v>
      </c>
      <c r="C827" s="74">
        <v>201.61672935437562</v>
      </c>
    </row>
    <row r="828" spans="1:3" x14ac:dyDescent="0.25">
      <c r="A828" s="74">
        <v>826</v>
      </c>
      <c r="B828" s="74" t="s">
        <v>110</v>
      </c>
      <c r="C828" s="74">
        <v>201.39022988059284</v>
      </c>
    </row>
    <row r="829" spans="1:3" x14ac:dyDescent="0.25">
      <c r="A829" s="74">
        <v>827</v>
      </c>
      <c r="B829" s="74" t="s">
        <v>110</v>
      </c>
      <c r="C829" s="74">
        <v>201.16309180904148</v>
      </c>
    </row>
    <row r="830" spans="1:3" x14ac:dyDescent="0.25">
      <c r="A830" s="74">
        <v>828</v>
      </c>
      <c r="B830" s="74" t="s">
        <v>110</v>
      </c>
      <c r="C830" s="74">
        <v>200.93531297410121</v>
      </c>
    </row>
    <row r="831" spans="1:3" x14ac:dyDescent="0.25">
      <c r="A831" s="74">
        <v>829</v>
      </c>
      <c r="B831" s="74" t="s">
        <v>110</v>
      </c>
      <c r="C831" s="74">
        <v>200.70689119419768</v>
      </c>
    </row>
    <row r="832" spans="1:3" x14ac:dyDescent="0.25">
      <c r="A832" s="74">
        <v>830</v>
      </c>
      <c r="B832" s="74" t="s">
        <v>110</v>
      </c>
      <c r="C832" s="74">
        <v>200.47782427164196</v>
      </c>
    </row>
    <row r="833" spans="1:3" x14ac:dyDescent="0.25">
      <c r="A833" s="74">
        <v>831</v>
      </c>
      <c r="B833" s="74" t="s">
        <v>110</v>
      </c>
      <c r="C833" s="74">
        <v>200.24810999246802</v>
      </c>
    </row>
    <row r="834" spans="1:3" x14ac:dyDescent="0.25">
      <c r="A834" s="74">
        <v>832</v>
      </c>
      <c r="B834" s="74" t="s">
        <v>110</v>
      </c>
      <c r="C834" s="74">
        <v>200.01774612626775</v>
      </c>
    </row>
    <row r="835" spans="1:3" x14ac:dyDescent="0.25">
      <c r="A835" s="74">
        <v>833</v>
      </c>
      <c r="B835" s="74" t="s">
        <v>110</v>
      </c>
      <c r="C835" s="74">
        <v>199.78673042602452</v>
      </c>
    </row>
    <row r="836" spans="1:3" x14ac:dyDescent="0.25">
      <c r="A836" s="74">
        <v>834</v>
      </c>
      <c r="B836" s="74" t="s">
        <v>110</v>
      </c>
      <c r="C836" s="74">
        <v>199.55506062794353</v>
      </c>
    </row>
    <row r="837" spans="1:3" x14ac:dyDescent="0.25">
      <c r="A837" s="74">
        <v>835</v>
      </c>
      <c r="B837" s="74" t="s">
        <v>110</v>
      </c>
      <c r="C837" s="74">
        <v>199.32273445128078</v>
      </c>
    </row>
    <row r="838" spans="1:3" x14ac:dyDescent="0.25">
      <c r="A838" s="74">
        <v>836</v>
      </c>
      <c r="B838" s="74" t="s">
        <v>110</v>
      </c>
      <c r="C838" s="74">
        <v>199.08974959816925</v>
      </c>
    </row>
    <row r="839" spans="1:3" x14ac:dyDescent="0.25">
      <c r="A839" s="74">
        <v>837</v>
      </c>
      <c r="B839" s="74" t="s">
        <v>110</v>
      </c>
      <c r="C839" s="74">
        <v>198.8561037534428</v>
      </c>
    </row>
    <row r="840" spans="1:3" x14ac:dyDescent="0.25">
      <c r="A840" s="74">
        <v>838</v>
      </c>
      <c r="B840" s="74" t="s">
        <v>110</v>
      </c>
      <c r="C840" s="74">
        <v>198.62179458445794</v>
      </c>
    </row>
    <row r="841" spans="1:3" x14ac:dyDescent="0.25">
      <c r="A841" s="74">
        <v>839</v>
      </c>
      <c r="B841" s="74" t="s">
        <v>110</v>
      </c>
      <c r="C841" s="74">
        <v>198.38681974091318</v>
      </c>
    </row>
    <row r="842" spans="1:3" x14ac:dyDescent="0.25">
      <c r="A842" s="74">
        <v>840</v>
      </c>
      <c r="B842" s="74" t="s">
        <v>110</v>
      </c>
      <c r="C842" s="74">
        <v>198.15117685466538</v>
      </c>
    </row>
    <row r="843" spans="1:3" x14ac:dyDescent="0.25">
      <c r="A843" s="74">
        <v>841</v>
      </c>
      <c r="B843" s="74" t="s">
        <v>110</v>
      </c>
      <c r="C843" s="74">
        <v>197.91486353954457</v>
      </c>
    </row>
    <row r="844" spans="1:3" x14ac:dyDescent="0.25">
      <c r="A844" s="74">
        <v>842</v>
      </c>
      <c r="B844" s="74" t="s">
        <v>110</v>
      </c>
      <c r="C844" s="74">
        <v>197.6778773911652</v>
      </c>
    </row>
    <row r="845" spans="1:3" x14ac:dyDescent="0.25">
      <c r="A845" s="74">
        <v>843</v>
      </c>
      <c r="B845" s="74" t="s">
        <v>110</v>
      </c>
      <c r="C845" s="74">
        <v>197.44021598673581</v>
      </c>
    </row>
    <row r="846" spans="1:3" x14ac:dyDescent="0.25">
      <c r="A846" s="74">
        <v>844</v>
      </c>
      <c r="B846" s="74" t="s">
        <v>110</v>
      </c>
      <c r="C846" s="74">
        <v>197.2018768848653</v>
      </c>
    </row>
    <row r="847" spans="1:3" x14ac:dyDescent="0.25">
      <c r="A847" s="74">
        <v>845</v>
      </c>
      <c r="B847" s="74" t="s">
        <v>110</v>
      </c>
      <c r="C847" s="74">
        <v>196.96285762536706</v>
      </c>
    </row>
    <row r="848" spans="1:3" x14ac:dyDescent="0.25">
      <c r="A848" s="74">
        <v>846</v>
      </c>
      <c r="B848" s="74" t="s">
        <v>110</v>
      </c>
      <c r="C848" s="74">
        <v>196.72315572906001</v>
      </c>
    </row>
    <row r="849" spans="1:3" x14ac:dyDescent="0.25">
      <c r="A849" s="74">
        <v>847</v>
      </c>
      <c r="B849" s="74" t="s">
        <v>110</v>
      </c>
      <c r="C849" s="74">
        <v>196.48276869756731</v>
      </c>
    </row>
    <row r="850" spans="1:3" x14ac:dyDescent="0.25">
      <c r="A850" s="74">
        <v>848</v>
      </c>
      <c r="B850" s="74" t="s">
        <v>110</v>
      </c>
      <c r="C850" s="74">
        <v>196.24169401311178</v>
      </c>
    </row>
    <row r="851" spans="1:3" x14ac:dyDescent="0.25">
      <c r="A851" s="74">
        <v>849</v>
      </c>
      <c r="B851" s="74" t="s">
        <v>110</v>
      </c>
      <c r="C851" s="74">
        <v>195.99992913830917</v>
      </c>
    </row>
    <row r="852" spans="1:3" x14ac:dyDescent="0.25">
      <c r="A852" s="74">
        <v>850</v>
      </c>
      <c r="B852" s="74" t="s">
        <v>110</v>
      </c>
      <c r="C852" s="74">
        <v>195.75747151595769</v>
      </c>
    </row>
    <row r="853" spans="1:3" x14ac:dyDescent="0.25">
      <c r="A853" s="74">
        <v>851</v>
      </c>
      <c r="B853" s="74" t="s">
        <v>110</v>
      </c>
      <c r="C853" s="74">
        <v>195.51431856882527</v>
      </c>
    </row>
    <row r="854" spans="1:3" x14ac:dyDescent="0.25">
      <c r="A854" s="74">
        <v>852</v>
      </c>
      <c r="B854" s="74" t="s">
        <v>110</v>
      </c>
      <c r="C854" s="74">
        <v>195.27046769943362</v>
      </c>
    </row>
    <row r="855" spans="1:3" x14ac:dyDescent="0.25">
      <c r="A855" s="74">
        <v>853</v>
      </c>
      <c r="B855" s="74" t="s">
        <v>110</v>
      </c>
      <c r="C855" s="74">
        <v>195.02591628983916</v>
      </c>
    </row>
    <row r="856" spans="1:3" x14ac:dyDescent="0.25">
      <c r="A856" s="74">
        <v>854</v>
      </c>
      <c r="B856" s="74" t="s">
        <v>110</v>
      </c>
      <c r="C856" s="74">
        <v>194.78066170141096</v>
      </c>
    </row>
    <row r="857" spans="1:3" x14ac:dyDescent="0.25">
      <c r="A857" s="74">
        <v>855</v>
      </c>
      <c r="B857" s="74" t="s">
        <v>110</v>
      </c>
      <c r="C857" s="74">
        <v>194.53470127460551</v>
      </c>
    </row>
    <row r="858" spans="1:3" x14ac:dyDescent="0.25">
      <c r="A858" s="74">
        <v>856</v>
      </c>
      <c r="B858" s="74" t="s">
        <v>110</v>
      </c>
      <c r="C858" s="74">
        <v>194.28803232873827</v>
      </c>
    </row>
    <row r="859" spans="1:3" x14ac:dyDescent="0.25">
      <c r="A859" s="74">
        <v>857</v>
      </c>
      <c r="B859" s="74" t="s">
        <v>110</v>
      </c>
      <c r="C859" s="74">
        <v>194.04065216175198</v>
      </c>
    </row>
    <row r="860" spans="1:3" x14ac:dyDescent="0.25">
      <c r="A860" s="74">
        <v>858</v>
      </c>
      <c r="B860" s="74" t="s">
        <v>110</v>
      </c>
      <c r="C860" s="74">
        <v>193.79255804998178</v>
      </c>
    </row>
    <row r="861" spans="1:3" x14ac:dyDescent="0.25">
      <c r="A861" s="74">
        <v>859</v>
      </c>
      <c r="B861" s="74" t="s">
        <v>110</v>
      </c>
      <c r="C861" s="74">
        <v>193.54374724791663</v>
      </c>
    </row>
    <row r="862" spans="1:3" x14ac:dyDescent="0.25">
      <c r="A862" s="74">
        <v>860</v>
      </c>
      <c r="B862" s="74" t="s">
        <v>110</v>
      </c>
      <c r="C862" s="74">
        <v>193.29421698795767</v>
      </c>
    </row>
    <row r="863" spans="1:3" x14ac:dyDescent="0.25">
      <c r="A863" s="74">
        <v>861</v>
      </c>
      <c r="B863" s="74" t="s">
        <v>110</v>
      </c>
      <c r="C863" s="74">
        <v>193.04396448017283</v>
      </c>
    </row>
    <row r="864" spans="1:3" x14ac:dyDescent="0.25">
      <c r="A864" s="74">
        <v>862</v>
      </c>
      <c r="B864" s="74" t="s">
        <v>110</v>
      </c>
      <c r="C864" s="74">
        <v>192.79298691204809</v>
      </c>
    </row>
    <row r="865" spans="1:3" x14ac:dyDescent="0.25">
      <c r="A865" s="74">
        <v>863</v>
      </c>
      <c r="B865" s="74" t="s">
        <v>110</v>
      </c>
      <c r="C865" s="74">
        <v>192.54128144823488</v>
      </c>
    </row>
    <row r="866" spans="1:3" x14ac:dyDescent="0.25">
      <c r="A866" s="74">
        <v>864</v>
      </c>
      <c r="B866" s="74" t="s">
        <v>110</v>
      </c>
      <c r="C866" s="74">
        <v>192.2888452302941</v>
      </c>
    </row>
    <row r="867" spans="1:3" x14ac:dyDescent="0.25">
      <c r="A867" s="74">
        <v>865</v>
      </c>
      <c r="B867" s="74" t="s">
        <v>110</v>
      </c>
      <c r="C867" s="74">
        <v>192.0356753764361</v>
      </c>
    </row>
    <row r="868" spans="1:3" x14ac:dyDescent="0.25">
      <c r="A868" s="74">
        <v>866</v>
      </c>
      <c r="B868" s="74" t="s">
        <v>110</v>
      </c>
      <c r="C868" s="74">
        <v>191.78176898125704</v>
      </c>
    </row>
    <row r="869" spans="1:3" x14ac:dyDescent="0.25">
      <c r="A869" s="74">
        <v>867</v>
      </c>
      <c r="B869" s="74" t="s">
        <v>110</v>
      </c>
      <c r="C869" s="74">
        <v>191.52712311547126</v>
      </c>
    </row>
    <row r="870" spans="1:3" x14ac:dyDescent="0.25">
      <c r="A870" s="74">
        <v>868</v>
      </c>
      <c r="B870" s="74" t="s">
        <v>110</v>
      </c>
      <c r="C870" s="74">
        <v>191.27173482563981</v>
      </c>
    </row>
    <row r="871" spans="1:3" x14ac:dyDescent="0.25">
      <c r="A871" s="74">
        <v>869</v>
      </c>
      <c r="B871" s="74" t="s">
        <v>110</v>
      </c>
      <c r="C871" s="74">
        <v>191.01560113389485</v>
      </c>
    </row>
    <row r="872" spans="1:3" x14ac:dyDescent="0.25">
      <c r="A872" s="74">
        <v>870</v>
      </c>
      <c r="B872" s="74" t="s">
        <v>110</v>
      </c>
      <c r="C872" s="74">
        <v>190.75871903765994</v>
      </c>
    </row>
    <row r="873" spans="1:3" x14ac:dyDescent="0.25">
      <c r="A873" s="74">
        <v>871</v>
      </c>
      <c r="B873" s="74" t="s">
        <v>110</v>
      </c>
      <c r="C873" s="74">
        <v>190.50108550936636</v>
      </c>
    </row>
    <row r="874" spans="1:3" x14ac:dyDescent="0.25">
      <c r="A874" s="74">
        <v>872</v>
      </c>
      <c r="B874" s="74" t="s">
        <v>110</v>
      </c>
      <c r="C874" s="74">
        <v>190.24269749616482</v>
      </c>
    </row>
    <row r="875" spans="1:3" x14ac:dyDescent="0.25">
      <c r="A875" s="74">
        <v>873</v>
      </c>
      <c r="B875" s="74" t="s">
        <v>110</v>
      </c>
      <c r="C875" s="74">
        <v>189.9835519196333</v>
      </c>
    </row>
    <row r="876" spans="1:3" x14ac:dyDescent="0.25">
      <c r="A876" s="74">
        <v>874</v>
      </c>
      <c r="B876" s="74" t="s">
        <v>110</v>
      </c>
      <c r="C876" s="74">
        <v>189.72364567547996</v>
      </c>
    </row>
    <row r="877" spans="1:3" x14ac:dyDescent="0.25">
      <c r="A877" s="74">
        <v>875</v>
      </c>
      <c r="B877" s="74" t="s">
        <v>110</v>
      </c>
      <c r="C877" s="74">
        <v>189.46297563324208</v>
      </c>
    </row>
    <row r="878" spans="1:3" x14ac:dyDescent="0.25">
      <c r="A878" s="74">
        <v>876</v>
      </c>
      <c r="B878" s="74" t="s">
        <v>110</v>
      </c>
      <c r="C878" s="74">
        <v>189.20153863597997</v>
      </c>
    </row>
    <row r="879" spans="1:3" x14ac:dyDescent="0.25">
      <c r="A879" s="74">
        <v>877</v>
      </c>
      <c r="B879" s="74" t="s">
        <v>110</v>
      </c>
      <c r="C879" s="74">
        <v>188.93933149996673</v>
      </c>
    </row>
    <row r="880" spans="1:3" x14ac:dyDescent="0.25">
      <c r="A880" s="74">
        <v>878</v>
      </c>
      <c r="B880" s="74" t="s">
        <v>110</v>
      </c>
      <c r="C880" s="74">
        <v>188.67635101437267</v>
      </c>
    </row>
    <row r="881" spans="1:3" x14ac:dyDescent="0.25">
      <c r="A881" s="74">
        <v>879</v>
      </c>
      <c r="B881" s="74" t="s">
        <v>110</v>
      </c>
      <c r="C881" s="74">
        <v>188.41259394094536</v>
      </c>
    </row>
    <row r="882" spans="1:3" x14ac:dyDescent="0.25">
      <c r="A882" s="74">
        <v>880</v>
      </c>
      <c r="B882" s="74" t="s">
        <v>110</v>
      </c>
      <c r="C882" s="74">
        <v>188.14805701368454</v>
      </c>
    </row>
    <row r="883" spans="1:3" x14ac:dyDescent="0.25">
      <c r="A883" s="74">
        <v>881</v>
      </c>
      <c r="B883" s="74" t="s">
        <v>110</v>
      </c>
      <c r="C883" s="74">
        <v>187.88273693851218</v>
      </c>
    </row>
    <row r="884" spans="1:3" x14ac:dyDescent="0.25">
      <c r="A884" s="74">
        <v>882</v>
      </c>
      <c r="B884" s="74" t="s">
        <v>110</v>
      </c>
      <c r="C884" s="74">
        <v>187.61663039293717</v>
      </c>
    </row>
    <row r="885" spans="1:3" x14ac:dyDescent="0.25">
      <c r="A885" s="74">
        <v>883</v>
      </c>
      <c r="B885" s="74" t="s">
        <v>110</v>
      </c>
      <c r="C885" s="74">
        <v>187.34973402571507</v>
      </c>
    </row>
    <row r="886" spans="1:3" x14ac:dyDescent="0.25">
      <c r="A886" s="74">
        <v>884</v>
      </c>
      <c r="B886" s="74" t="s">
        <v>110</v>
      </c>
      <c r="C886" s="74">
        <v>187.08204445650227</v>
      </c>
    </row>
    <row r="887" spans="1:3" x14ac:dyDescent="0.25">
      <c r="A887" s="74">
        <v>885</v>
      </c>
      <c r="B887" s="74" t="s">
        <v>110</v>
      </c>
      <c r="C887" s="74">
        <v>186.81355827550516</v>
      </c>
    </row>
    <row r="888" spans="1:3" x14ac:dyDescent="0.25">
      <c r="A888" s="74">
        <v>886</v>
      </c>
      <c r="B888" s="74" t="s">
        <v>110</v>
      </c>
      <c r="C888" s="74">
        <v>186.54427204312321</v>
      </c>
    </row>
    <row r="889" spans="1:3" x14ac:dyDescent="0.25">
      <c r="A889" s="74">
        <v>887</v>
      </c>
      <c r="B889" s="74" t="s">
        <v>110</v>
      </c>
      <c r="C889" s="74">
        <v>186.27418228958709</v>
      </c>
    </row>
    <row r="890" spans="1:3" x14ac:dyDescent="0.25">
      <c r="A890" s="74">
        <v>888</v>
      </c>
      <c r="B890" s="74" t="s">
        <v>110</v>
      </c>
      <c r="C890" s="74">
        <v>186.00328551459035</v>
      </c>
    </row>
    <row r="891" spans="1:3" x14ac:dyDescent="0.25">
      <c r="A891" s="74">
        <v>889</v>
      </c>
      <c r="B891" s="74" t="s">
        <v>110</v>
      </c>
      <c r="C891" s="74">
        <v>185.73157818691593</v>
      </c>
    </row>
    <row r="892" spans="1:3" x14ac:dyDescent="0.25">
      <c r="A892" s="74">
        <v>890</v>
      </c>
      <c r="B892" s="74" t="s">
        <v>110</v>
      </c>
      <c r="C892" s="74">
        <v>185.45905674405623</v>
      </c>
    </row>
    <row r="893" spans="1:3" x14ac:dyDescent="0.25">
      <c r="A893" s="74">
        <v>891</v>
      </c>
      <c r="B893" s="74" t="s">
        <v>110</v>
      </c>
      <c r="C893" s="74">
        <v>185.18571759182726</v>
      </c>
    </row>
    <row r="894" spans="1:3" x14ac:dyDescent="0.25">
      <c r="A894" s="74">
        <v>892</v>
      </c>
      <c r="B894" s="74" t="s">
        <v>110</v>
      </c>
      <c r="C894" s="74">
        <v>184.9115571039768</v>
      </c>
    </row>
    <row r="895" spans="1:3" x14ac:dyDescent="0.25">
      <c r="A895" s="74">
        <v>893</v>
      </c>
      <c r="B895" s="74" t="s">
        <v>110</v>
      </c>
      <c r="C895" s="74">
        <v>184.636571621786</v>
      </c>
    </row>
    <row r="896" spans="1:3" x14ac:dyDescent="0.25">
      <c r="A896" s="74">
        <v>894</v>
      </c>
      <c r="B896" s="74" t="s">
        <v>110</v>
      </c>
      <c r="C896" s="74">
        <v>184.36075745366443</v>
      </c>
    </row>
    <row r="897" spans="1:3" x14ac:dyDescent="0.25">
      <c r="A897" s="74">
        <v>895</v>
      </c>
      <c r="B897" s="74" t="s">
        <v>110</v>
      </c>
      <c r="C897" s="74">
        <v>184.08411087473903</v>
      </c>
    </row>
    <row r="898" spans="1:3" x14ac:dyDescent="0.25">
      <c r="A898" s="74">
        <v>896</v>
      </c>
      <c r="B898" s="74" t="s">
        <v>110</v>
      </c>
      <c r="C898" s="74">
        <v>183.80662812643587</v>
      </c>
    </row>
    <row r="899" spans="1:3" x14ac:dyDescent="0.25">
      <c r="A899" s="74">
        <v>897</v>
      </c>
      <c r="B899" s="74" t="s">
        <v>110</v>
      </c>
      <c r="C899" s="74">
        <v>183.52830541605533</v>
      </c>
    </row>
    <row r="900" spans="1:3" x14ac:dyDescent="0.25">
      <c r="A900" s="74">
        <v>898</v>
      </c>
      <c r="B900" s="74" t="s">
        <v>110</v>
      </c>
      <c r="C900" s="74">
        <v>183.24913891634046</v>
      </c>
    </row>
    <row r="901" spans="1:3" x14ac:dyDescent="0.25">
      <c r="A901" s="74">
        <v>899</v>
      </c>
      <c r="B901" s="74" t="s">
        <v>110</v>
      </c>
      <c r="C901" s="74">
        <v>182.96912476503775</v>
      </c>
    </row>
    <row r="902" spans="1:3" x14ac:dyDescent="0.25">
      <c r="A902" s="74">
        <v>900</v>
      </c>
      <c r="B902" s="74" t="s">
        <v>110</v>
      </c>
      <c r="C902" s="74">
        <v>182.6882590644511</v>
      </c>
    </row>
    <row r="903" spans="1:3" x14ac:dyDescent="0.25">
      <c r="A903" s="74">
        <v>901</v>
      </c>
      <c r="B903" s="74" t="s">
        <v>110</v>
      </c>
      <c r="C903" s="74">
        <v>182.40653788098822</v>
      </c>
    </row>
    <row r="904" spans="1:3" x14ac:dyDescent="0.25">
      <c r="A904" s="74">
        <v>902</v>
      </c>
      <c r="B904" s="74" t="s">
        <v>110</v>
      </c>
      <c r="C904" s="74">
        <v>182.12395724469951</v>
      </c>
    </row>
    <row r="905" spans="1:3" x14ac:dyDescent="0.25">
      <c r="A905" s="74">
        <v>903</v>
      </c>
      <c r="B905" s="74" t="s">
        <v>110</v>
      </c>
      <c r="C905" s="74">
        <v>181.84051314880912</v>
      </c>
    </row>
    <row r="906" spans="1:3" x14ac:dyDescent="0.25">
      <c r="A906" s="74">
        <v>904</v>
      </c>
      <c r="B906" s="74" t="s">
        <v>110</v>
      </c>
      <c r="C906" s="74">
        <v>181.55620154923832</v>
      </c>
    </row>
    <row r="907" spans="1:3" x14ac:dyDescent="0.25">
      <c r="A907" s="74">
        <v>905</v>
      </c>
      <c r="B907" s="74" t="s">
        <v>110</v>
      </c>
      <c r="C907" s="74">
        <v>181.27101836412083</v>
      </c>
    </row>
    <row r="908" spans="1:3" x14ac:dyDescent="0.25">
      <c r="A908" s="74">
        <v>906</v>
      </c>
      <c r="B908" s="74" t="s">
        <v>110</v>
      </c>
      <c r="C908" s="74">
        <v>180.98495947330971</v>
      </c>
    </row>
    <row r="909" spans="1:3" x14ac:dyDescent="0.25">
      <c r="A909" s="74">
        <v>907</v>
      </c>
      <c r="B909" s="74" t="s">
        <v>110</v>
      </c>
      <c r="C909" s="74">
        <v>180.6980207178762</v>
      </c>
    </row>
    <row r="910" spans="1:3" x14ac:dyDescent="0.25">
      <c r="A910" s="74">
        <v>908</v>
      </c>
      <c r="B910" s="74" t="s">
        <v>110</v>
      </c>
      <c r="C910" s="74">
        <v>180.41019789960001</v>
      </c>
    </row>
    <row r="911" spans="1:3" x14ac:dyDescent="0.25">
      <c r="A911" s="74">
        <v>909</v>
      </c>
      <c r="B911" s="74" t="s">
        <v>110</v>
      </c>
      <c r="C911" s="74">
        <v>180.12148678045048</v>
      </c>
    </row>
    <row r="912" spans="1:3" x14ac:dyDescent="0.25">
      <c r="A912" s="74">
        <v>910</v>
      </c>
      <c r="B912" s="74" t="s">
        <v>110</v>
      </c>
      <c r="C912" s="74">
        <v>179.83188308205948</v>
      </c>
    </row>
    <row r="913" spans="1:3" x14ac:dyDescent="0.25">
      <c r="A913" s="74">
        <v>911</v>
      </c>
      <c r="B913" s="74" t="s">
        <v>110</v>
      </c>
      <c r="C913" s="74">
        <v>179.54138248518461</v>
      </c>
    </row>
    <row r="914" spans="1:3" x14ac:dyDescent="0.25">
      <c r="A914" s="74">
        <v>912</v>
      </c>
      <c r="B914" s="74" t="s">
        <v>110</v>
      </c>
      <c r="C914" s="74">
        <v>179.24998062916367</v>
      </c>
    </row>
    <row r="915" spans="1:3" x14ac:dyDescent="0.25">
      <c r="A915" s="74">
        <v>913</v>
      </c>
      <c r="B915" s="74" t="s">
        <v>110</v>
      </c>
      <c r="C915" s="74">
        <v>178.95767311135918</v>
      </c>
    </row>
    <row r="916" spans="1:3" x14ac:dyDescent="0.25">
      <c r="A916" s="74">
        <v>914</v>
      </c>
      <c r="B916" s="74" t="s">
        <v>110</v>
      </c>
      <c r="C916" s="74">
        <v>178.66445548659362</v>
      </c>
    </row>
    <row r="917" spans="1:3" x14ac:dyDescent="0.25">
      <c r="A917" s="74">
        <v>915</v>
      </c>
      <c r="B917" s="74" t="s">
        <v>110</v>
      </c>
      <c r="C917" s="74">
        <v>178.37032326657433</v>
      </c>
    </row>
    <row r="918" spans="1:3" x14ac:dyDescent="0.25">
      <c r="A918" s="74">
        <v>916</v>
      </c>
      <c r="B918" s="74" t="s">
        <v>110</v>
      </c>
      <c r="C918" s="74">
        <v>178.0752719193089</v>
      </c>
    </row>
    <row r="919" spans="1:3" x14ac:dyDescent="0.25">
      <c r="A919" s="74">
        <v>917</v>
      </c>
      <c r="B919" s="74" t="s">
        <v>110</v>
      </c>
      <c r="C919" s="74">
        <v>177.77929686850976</v>
      </c>
    </row>
    <row r="920" spans="1:3" x14ac:dyDescent="0.25">
      <c r="A920" s="74">
        <v>918</v>
      </c>
      <c r="B920" s="74" t="s">
        <v>110</v>
      </c>
      <c r="C920" s="74">
        <v>177.48239349298848</v>
      </c>
    </row>
    <row r="921" spans="1:3" x14ac:dyDescent="0.25">
      <c r="A921" s="74">
        <v>919</v>
      </c>
      <c r="B921" s="74" t="s">
        <v>110</v>
      </c>
      <c r="C921" s="74">
        <v>177.1845571260391</v>
      </c>
    </row>
    <row r="922" spans="1:3" x14ac:dyDescent="0.25">
      <c r="A922" s="74">
        <v>920</v>
      </c>
      <c r="B922" s="74" t="s">
        <v>110</v>
      </c>
      <c r="C922" s="74">
        <v>176.88578305481079</v>
      </c>
    </row>
    <row r="923" spans="1:3" x14ac:dyDescent="0.25">
      <c r="A923" s="74">
        <v>921</v>
      </c>
      <c r="B923" s="74" t="s">
        <v>110</v>
      </c>
      <c r="C923" s="74">
        <v>176.5860665196688</v>
      </c>
    </row>
    <row r="924" spans="1:3" x14ac:dyDescent="0.25">
      <c r="A924" s="74">
        <v>922</v>
      </c>
      <c r="B924" s="74" t="s">
        <v>110</v>
      </c>
      <c r="C924" s="74">
        <v>176.28540271354444</v>
      </c>
    </row>
    <row r="925" spans="1:3" x14ac:dyDescent="0.25">
      <c r="A925" s="74">
        <v>923</v>
      </c>
      <c r="B925" s="74" t="s">
        <v>110</v>
      </c>
      <c r="C925" s="74">
        <v>175.98378678127295</v>
      </c>
    </row>
    <row r="926" spans="1:3" x14ac:dyDescent="0.25">
      <c r="A926" s="74">
        <v>924</v>
      </c>
      <c r="B926" s="74" t="s">
        <v>110</v>
      </c>
      <c r="C926" s="74">
        <v>175.68121381891942</v>
      </c>
    </row>
    <row r="927" spans="1:3" x14ac:dyDescent="0.25">
      <c r="A927" s="74">
        <v>925</v>
      </c>
      <c r="B927" s="74" t="s">
        <v>110</v>
      </c>
      <c r="C927" s="74">
        <v>175.37767887309258</v>
      </c>
    </row>
    <row r="928" spans="1:3" x14ac:dyDescent="0.25">
      <c r="A928" s="74">
        <v>926</v>
      </c>
      <c r="B928" s="74" t="s">
        <v>110</v>
      </c>
      <c r="C928" s="74">
        <v>175.07317694024582</v>
      </c>
    </row>
    <row r="929" spans="1:3" x14ac:dyDescent="0.25">
      <c r="A929" s="74">
        <v>927</v>
      </c>
      <c r="B929" s="74" t="s">
        <v>110</v>
      </c>
      <c r="C929" s="74">
        <v>174.76770296596564</v>
      </c>
    </row>
    <row r="930" spans="1:3" x14ac:dyDescent="0.25">
      <c r="A930" s="74">
        <v>928</v>
      </c>
      <c r="B930" s="74" t="s">
        <v>110</v>
      </c>
      <c r="C930" s="74">
        <v>174.46125184424685</v>
      </c>
    </row>
    <row r="931" spans="1:3" x14ac:dyDescent="0.25">
      <c r="A931" s="74">
        <v>929</v>
      </c>
      <c r="B931" s="74" t="s">
        <v>110</v>
      </c>
      <c r="C931" s="74">
        <v>174.15381841675423</v>
      </c>
    </row>
    <row r="932" spans="1:3" x14ac:dyDescent="0.25">
      <c r="A932" s="74">
        <v>930</v>
      </c>
      <c r="B932" s="74" t="s">
        <v>110</v>
      </c>
      <c r="C932" s="74">
        <v>173.84539747207063</v>
      </c>
    </row>
    <row r="933" spans="1:3" x14ac:dyDescent="0.25">
      <c r="A933" s="74">
        <v>931</v>
      </c>
      <c r="B933" s="74" t="s">
        <v>110</v>
      </c>
      <c r="C933" s="74">
        <v>173.53598374493112</v>
      </c>
    </row>
    <row r="934" spans="1:3" x14ac:dyDescent="0.25">
      <c r="A934" s="74">
        <v>932</v>
      </c>
      <c r="B934" s="74" t="s">
        <v>110</v>
      </c>
      <c r="C934" s="74">
        <v>173.2255719154424</v>
      </c>
    </row>
    <row r="935" spans="1:3" x14ac:dyDescent="0.25">
      <c r="A935" s="74">
        <v>933</v>
      </c>
      <c r="B935" s="74" t="s">
        <v>110</v>
      </c>
      <c r="C935" s="74">
        <v>172.91415660828801</v>
      </c>
    </row>
    <row r="936" spans="1:3" x14ac:dyDescent="0.25">
      <c r="A936" s="74">
        <v>934</v>
      </c>
      <c r="B936" s="74" t="s">
        <v>110</v>
      </c>
      <c r="C936" s="74">
        <v>172.60173239191826</v>
      </c>
    </row>
    <row r="937" spans="1:3" x14ac:dyDescent="0.25">
      <c r="A937" s="74">
        <v>935</v>
      </c>
      <c r="B937" s="74" t="s">
        <v>110</v>
      </c>
      <c r="C937" s="74">
        <v>172.2882937777245</v>
      </c>
    </row>
    <row r="938" spans="1:3" x14ac:dyDescent="0.25">
      <c r="A938" s="74">
        <v>936</v>
      </c>
      <c r="B938" s="74" t="s">
        <v>110</v>
      </c>
      <c r="C938" s="74">
        <v>171.97383521919841</v>
      </c>
    </row>
    <row r="939" spans="1:3" x14ac:dyDescent="0.25">
      <c r="A939" s="74">
        <v>937</v>
      </c>
      <c r="B939" s="74" t="s">
        <v>110</v>
      </c>
      <c r="C939" s="74">
        <v>171.65835111107424</v>
      </c>
    </row>
    <row r="940" spans="1:3" x14ac:dyDescent="0.25">
      <c r="A940" s="74">
        <v>938</v>
      </c>
      <c r="B940" s="74" t="s">
        <v>110</v>
      </c>
      <c r="C940" s="74">
        <v>171.34183578845546</v>
      </c>
    </row>
    <row r="941" spans="1:3" x14ac:dyDescent="0.25">
      <c r="A941" s="74">
        <v>939</v>
      </c>
      <c r="B941" s="74" t="s">
        <v>110</v>
      </c>
      <c r="C941" s="74">
        <v>171.02428352592375</v>
      </c>
    </row>
    <row r="942" spans="1:3" x14ac:dyDescent="0.25">
      <c r="A942" s="74">
        <v>940</v>
      </c>
      <c r="B942" s="74" t="s">
        <v>110</v>
      </c>
      <c r="C942" s="74">
        <v>170.70568853663147</v>
      </c>
    </row>
    <row r="943" spans="1:3" x14ac:dyDescent="0.25">
      <c r="A943" s="74">
        <v>941</v>
      </c>
      <c r="B943" s="74" t="s">
        <v>110</v>
      </c>
      <c r="C943" s="74">
        <v>170.38604497137567</v>
      </c>
    </row>
    <row r="944" spans="1:3" x14ac:dyDescent="0.25">
      <c r="A944" s="74">
        <v>942</v>
      </c>
      <c r="B944" s="74" t="s">
        <v>110</v>
      </c>
      <c r="C944" s="74">
        <v>170.06534691765464</v>
      </c>
    </row>
    <row r="945" spans="1:3" x14ac:dyDescent="0.25">
      <c r="A945" s="74">
        <v>943</v>
      </c>
      <c r="B945" s="74" t="s">
        <v>110</v>
      </c>
      <c r="C945" s="74">
        <v>169.74358839870547</v>
      </c>
    </row>
    <row r="946" spans="1:3" x14ac:dyDescent="0.25">
      <c r="A946" s="74">
        <v>944</v>
      </c>
      <c r="B946" s="74" t="s">
        <v>110</v>
      </c>
      <c r="C946" s="74">
        <v>169.42076337252288</v>
      </c>
    </row>
    <row r="947" spans="1:3" x14ac:dyDescent="0.25">
      <c r="A947" s="74">
        <v>945</v>
      </c>
      <c r="B947" s="74" t="s">
        <v>110</v>
      </c>
      <c r="C947" s="74">
        <v>169.09686573085853</v>
      </c>
    </row>
    <row r="948" spans="1:3" x14ac:dyDescent="0.25">
      <c r="A948" s="74">
        <v>946</v>
      </c>
      <c r="B948" s="74" t="s">
        <v>110</v>
      </c>
      <c r="C948" s="74">
        <v>168.77188929820022</v>
      </c>
    </row>
    <row r="949" spans="1:3" x14ac:dyDescent="0.25">
      <c r="A949" s="74">
        <v>947</v>
      </c>
      <c r="B949" s="74" t="s">
        <v>110</v>
      </c>
      <c r="C949" s="74">
        <v>168.44582783073093</v>
      </c>
    </row>
    <row r="950" spans="1:3" x14ac:dyDescent="0.25">
      <c r="A950" s="74">
        <v>948</v>
      </c>
      <c r="B950" s="74" t="s">
        <v>110</v>
      </c>
      <c r="C950" s="74">
        <v>168.11867501526677</v>
      </c>
    </row>
    <row r="951" spans="1:3" x14ac:dyDescent="0.25">
      <c r="A951" s="74">
        <v>949</v>
      </c>
      <c r="B951" s="74" t="s">
        <v>110</v>
      </c>
      <c r="C951" s="74">
        <v>167.79042446817363</v>
      </c>
    </row>
    <row r="952" spans="1:3" x14ac:dyDescent="0.25">
      <c r="A952" s="74">
        <v>950</v>
      </c>
      <c r="B952" s="74" t="s">
        <v>110</v>
      </c>
      <c r="C952" s="74">
        <v>167.46106973426157</v>
      </c>
    </row>
    <row r="953" spans="1:3" x14ac:dyDescent="0.25">
      <c r="A953" s="74">
        <v>951</v>
      </c>
      <c r="B953" s="74" t="s">
        <v>110</v>
      </c>
      <c r="C953" s="74">
        <v>167.13060428565706</v>
      </c>
    </row>
    <row r="954" spans="1:3" x14ac:dyDescent="0.25">
      <c r="A954" s="74">
        <v>952</v>
      </c>
      <c r="B954" s="74" t="s">
        <v>110</v>
      </c>
      <c r="C954" s="74">
        <v>166.79902152065196</v>
      </c>
    </row>
    <row r="955" spans="1:3" x14ac:dyDescent="0.25">
      <c r="A955" s="74">
        <v>953</v>
      </c>
      <c r="B955" s="74" t="s">
        <v>110</v>
      </c>
      <c r="C955" s="74">
        <v>166.4663147625287</v>
      </c>
    </row>
    <row r="956" spans="1:3" x14ac:dyDescent="0.25">
      <c r="A956" s="74">
        <v>954</v>
      </c>
      <c r="B956" s="74" t="s">
        <v>110</v>
      </c>
      <c r="C956" s="74">
        <v>166.13247725836149</v>
      </c>
    </row>
    <row r="957" spans="1:3" x14ac:dyDescent="0.25">
      <c r="A957" s="74">
        <v>955</v>
      </c>
      <c r="B957" s="74" t="s">
        <v>110</v>
      </c>
      <c r="C957" s="74">
        <v>165.79750217779238</v>
      </c>
    </row>
    <row r="958" spans="1:3" x14ac:dyDescent="0.25">
      <c r="A958" s="74">
        <v>956</v>
      </c>
      <c r="B958" s="74" t="s">
        <v>110</v>
      </c>
      <c r="C958" s="74">
        <v>165.46138261178189</v>
      </c>
    </row>
    <row r="959" spans="1:3" x14ac:dyDescent="0.25">
      <c r="A959" s="74">
        <v>957</v>
      </c>
      <c r="B959" s="74" t="s">
        <v>110</v>
      </c>
      <c r="C959" s="74">
        <v>165.1241115713336</v>
      </c>
    </row>
    <row r="960" spans="1:3" x14ac:dyDescent="0.25">
      <c r="A960" s="74">
        <v>958</v>
      </c>
      <c r="B960" s="74" t="s">
        <v>110</v>
      </c>
      <c r="C960" s="74">
        <v>164.78568198619175</v>
      </c>
    </row>
    <row r="961" spans="1:3" x14ac:dyDescent="0.25">
      <c r="A961" s="74">
        <v>959</v>
      </c>
      <c r="B961" s="74" t="s">
        <v>110</v>
      </c>
      <c r="C961" s="74">
        <v>164.44608670351133</v>
      </c>
    </row>
    <row r="962" spans="1:3" x14ac:dyDescent="0.25">
      <c r="A962" s="74">
        <v>960</v>
      </c>
      <c r="B962" s="74" t="s">
        <v>110</v>
      </c>
      <c r="C962" s="74">
        <v>164.10531848649987</v>
      </c>
    </row>
    <row r="963" spans="1:3" x14ac:dyDescent="0.25">
      <c r="A963" s="74">
        <v>961</v>
      </c>
      <c r="B963" s="74" t="s">
        <v>110</v>
      </c>
      <c r="C963" s="74">
        <v>163.76337001303037</v>
      </c>
    </row>
    <row r="964" spans="1:3" x14ac:dyDescent="0.25">
      <c r="A964" s="74">
        <v>962</v>
      </c>
      <c r="B964" s="74" t="s">
        <v>110</v>
      </c>
      <c r="C964" s="74">
        <v>163.42023387422429</v>
      </c>
    </row>
    <row r="965" spans="1:3" x14ac:dyDescent="0.25">
      <c r="A965" s="74">
        <v>963</v>
      </c>
      <c r="B965" s="74" t="s">
        <v>110</v>
      </c>
      <c r="C965" s="74">
        <v>163.07590257300433</v>
      </c>
    </row>
    <row r="966" spans="1:3" x14ac:dyDescent="0.25">
      <c r="A966" s="74">
        <v>964</v>
      </c>
      <c r="B966" s="74" t="s">
        <v>110</v>
      </c>
      <c r="C966" s="74">
        <v>162.73036852261527</v>
      </c>
    </row>
    <row r="967" spans="1:3" x14ac:dyDescent="0.25">
      <c r="A967" s="74">
        <v>965</v>
      </c>
      <c r="B967" s="74" t="s">
        <v>110</v>
      </c>
      <c r="C967" s="74">
        <v>162.38362404511329</v>
      </c>
    </row>
    <row r="968" spans="1:3" x14ac:dyDescent="0.25">
      <c r="A968" s="74">
        <v>966</v>
      </c>
      <c r="B968" s="74" t="s">
        <v>110</v>
      </c>
      <c r="C968" s="74">
        <v>162.03566136982178</v>
      </c>
    </row>
    <row r="969" spans="1:3" x14ac:dyDescent="0.25">
      <c r="A969" s="74">
        <v>967</v>
      </c>
      <c r="B969" s="74" t="s">
        <v>110</v>
      </c>
      <c r="C969" s="74">
        <v>161.68647263175347</v>
      </c>
    </row>
    <row r="970" spans="1:3" x14ac:dyDescent="0.25">
      <c r="A970" s="74">
        <v>968</v>
      </c>
      <c r="B970" s="74" t="s">
        <v>110</v>
      </c>
      <c r="C970" s="74">
        <v>161.33604986999751</v>
      </c>
    </row>
    <row r="971" spans="1:3" x14ac:dyDescent="0.25">
      <c r="A971" s="74">
        <v>969</v>
      </c>
      <c r="B971" s="74" t="s">
        <v>110</v>
      </c>
      <c r="C971" s="74">
        <v>160.98438502607081</v>
      </c>
    </row>
    <row r="972" spans="1:3" x14ac:dyDescent="0.25">
      <c r="A972" s="74">
        <v>970</v>
      </c>
      <c r="B972" s="74" t="s">
        <v>110</v>
      </c>
      <c r="C972" s="74">
        <v>160.63146994223291</v>
      </c>
    </row>
    <row r="973" spans="1:3" x14ac:dyDescent="0.25">
      <c r="A973" s="74">
        <v>971</v>
      </c>
      <c r="B973" s="74" t="s">
        <v>110</v>
      </c>
      <c r="C973" s="74">
        <v>160.27729635976226</v>
      </c>
    </row>
    <row r="974" spans="1:3" x14ac:dyDescent="0.25">
      <c r="A974" s="74">
        <v>972</v>
      </c>
      <c r="B974" s="74" t="s">
        <v>110</v>
      </c>
      <c r="C974" s="74">
        <v>159.92185591719476</v>
      </c>
    </row>
    <row r="975" spans="1:3" x14ac:dyDescent="0.25">
      <c r="A975" s="74">
        <v>973</v>
      </c>
      <c r="B975" s="74" t="s">
        <v>110</v>
      </c>
      <c r="C975" s="74">
        <v>159.56514014852141</v>
      </c>
    </row>
    <row r="976" spans="1:3" x14ac:dyDescent="0.25">
      <c r="A976" s="74">
        <v>974</v>
      </c>
      <c r="B976" s="74" t="s">
        <v>110</v>
      </c>
      <c r="C976" s="74">
        <v>159.20714048134559</v>
      </c>
    </row>
    <row r="977" spans="1:3" x14ac:dyDescent="0.25">
      <c r="A977" s="74">
        <v>975</v>
      </c>
      <c r="B977" s="74" t="s">
        <v>110</v>
      </c>
      <c r="C977" s="74">
        <v>158.84784823499777</v>
      </c>
    </row>
    <row r="978" spans="1:3" x14ac:dyDescent="0.25">
      <c r="A978" s="74">
        <v>976</v>
      </c>
      <c r="B978" s="74" t="s">
        <v>110</v>
      </c>
      <c r="C978" s="74">
        <v>158.48725461860715</v>
      </c>
    </row>
    <row r="979" spans="1:3" x14ac:dyDescent="0.25">
      <c r="A979" s="74">
        <v>977</v>
      </c>
      <c r="B979" s="74" t="s">
        <v>110</v>
      </c>
      <c r="C979" s="74">
        <v>158.12535072912846</v>
      </c>
    </row>
    <row r="980" spans="1:3" x14ac:dyDescent="0.25">
      <c r="A980" s="74">
        <v>978</v>
      </c>
      <c r="B980" s="74" t="s">
        <v>110</v>
      </c>
      <c r="C980" s="74">
        <v>157.76212754932308</v>
      </c>
    </row>
    <row r="981" spans="1:3" x14ac:dyDescent="0.25">
      <c r="A981" s="74">
        <v>979</v>
      </c>
      <c r="B981" s="74" t="s">
        <v>110</v>
      </c>
      <c r="C981" s="74">
        <v>157.39757594569318</v>
      </c>
    </row>
    <row r="982" spans="1:3" x14ac:dyDescent="0.25">
      <c r="A982" s="74">
        <v>980</v>
      </c>
      <c r="B982" s="74" t="s">
        <v>110</v>
      </c>
      <c r="C982" s="74">
        <v>157.03168666636662</v>
      </c>
    </row>
    <row r="983" spans="1:3" x14ac:dyDescent="0.25">
      <c r="A983" s="74">
        <v>981</v>
      </c>
      <c r="B983" s="74" t="s">
        <v>110</v>
      </c>
      <c r="C983" s="74">
        <v>156.66445033893299</v>
      </c>
    </row>
    <row r="984" spans="1:3" x14ac:dyDescent="0.25">
      <c r="A984" s="74">
        <v>982</v>
      </c>
      <c r="B984" s="74" t="s">
        <v>110</v>
      </c>
      <c r="C984" s="74">
        <v>156.29585746822721</v>
      </c>
    </row>
    <row r="985" spans="1:3" x14ac:dyDescent="0.25">
      <c r="A985" s="74">
        <v>983</v>
      </c>
      <c r="B985" s="74" t="s">
        <v>110</v>
      </c>
      <c r="C985" s="74">
        <v>155.92589843406108</v>
      </c>
    </row>
    <row r="986" spans="1:3" x14ac:dyDescent="0.25">
      <c r="A986" s="74">
        <v>984</v>
      </c>
      <c r="B986" s="74" t="s">
        <v>110</v>
      </c>
      <c r="C986" s="74">
        <v>155.55456348890002</v>
      </c>
    </row>
    <row r="987" spans="1:3" x14ac:dyDescent="0.25">
      <c r="A987" s="74">
        <v>985</v>
      </c>
      <c r="B987" s="74" t="s">
        <v>110</v>
      </c>
      <c r="C987" s="74">
        <v>155.18184275548364</v>
      </c>
    </row>
    <row r="988" spans="1:3" x14ac:dyDescent="0.25">
      <c r="A988" s="74">
        <v>986</v>
      </c>
      <c r="B988" s="74" t="s">
        <v>110</v>
      </c>
      <c r="C988" s="74">
        <v>154.80772622438917</v>
      </c>
    </row>
    <row r="989" spans="1:3" x14ac:dyDescent="0.25">
      <c r="A989" s="74">
        <v>987</v>
      </c>
      <c r="B989" s="74" t="s">
        <v>110</v>
      </c>
      <c r="C989" s="74">
        <v>154.43220375153481</v>
      </c>
    </row>
    <row r="990" spans="1:3" x14ac:dyDescent="0.25">
      <c r="A990" s="74">
        <v>988</v>
      </c>
      <c r="B990" s="74" t="s">
        <v>110</v>
      </c>
      <c r="C990" s="74">
        <v>154.05526505562221</v>
      </c>
    </row>
    <row r="991" spans="1:3" x14ac:dyDescent="0.25">
      <c r="A991" s="74">
        <v>989</v>
      </c>
      <c r="B991" s="74" t="s">
        <v>110</v>
      </c>
      <c r="C991" s="74">
        <v>153.67689971551624</v>
      </c>
    </row>
    <row r="992" spans="1:3" x14ac:dyDescent="0.25">
      <c r="A992" s="74">
        <v>990</v>
      </c>
      <c r="B992" s="74" t="s">
        <v>110</v>
      </c>
      <c r="C992" s="74">
        <v>153.29709716755892</v>
      </c>
    </row>
    <row r="993" spans="1:3" x14ac:dyDescent="0.25">
      <c r="A993" s="74">
        <v>991</v>
      </c>
      <c r="B993" s="74" t="s">
        <v>110</v>
      </c>
      <c r="C993" s="74">
        <v>152.91584670281725</v>
      </c>
    </row>
    <row r="994" spans="1:3" x14ac:dyDescent="0.25">
      <c r="A994" s="74">
        <v>992</v>
      </c>
      <c r="B994" s="74" t="s">
        <v>110</v>
      </c>
      <c r="C994" s="74">
        <v>152.5331374642617</v>
      </c>
    </row>
    <row r="995" spans="1:3" x14ac:dyDescent="0.25">
      <c r="A995" s="74">
        <v>993</v>
      </c>
      <c r="B995" s="74" t="s">
        <v>110</v>
      </c>
      <c r="C995" s="74">
        <v>152.14895844387354</v>
      </c>
    </row>
    <row r="996" spans="1:3" x14ac:dyDescent="0.25">
      <c r="A996" s="74">
        <v>994</v>
      </c>
      <c r="B996" s="74" t="s">
        <v>110</v>
      </c>
      <c r="C996" s="74">
        <v>151.76329847967887</v>
      </c>
    </row>
    <row r="997" spans="1:3" x14ac:dyDescent="0.25">
      <c r="A997" s="74">
        <v>995</v>
      </c>
      <c r="B997" s="74" t="s">
        <v>110</v>
      </c>
      <c r="C997" s="74">
        <v>151.37614625270717</v>
      </c>
    </row>
    <row r="998" spans="1:3" x14ac:dyDescent="0.25">
      <c r="A998" s="74">
        <v>996</v>
      </c>
      <c r="B998" s="74" t="s">
        <v>110</v>
      </c>
      <c r="C998" s="74">
        <v>150.98749028387161</v>
      </c>
    </row>
    <row r="999" spans="1:3" x14ac:dyDescent="0.25">
      <c r="A999" s="74">
        <v>997</v>
      </c>
      <c r="B999" s="74" t="s">
        <v>110</v>
      </c>
      <c r="C999" s="74">
        <v>150.59731893076915</v>
      </c>
    </row>
    <row r="1000" spans="1:3" x14ac:dyDescent="0.25">
      <c r="A1000" s="74">
        <v>998</v>
      </c>
      <c r="B1000" s="74" t="s">
        <v>110</v>
      </c>
      <c r="C1000" s="74">
        <v>150.20562038439749</v>
      </c>
    </row>
    <row r="1001" spans="1:3" x14ac:dyDescent="0.25">
      <c r="A1001" s="74">
        <v>999</v>
      </c>
      <c r="B1001" s="74" t="s">
        <v>110</v>
      </c>
      <c r="C1001" s="74">
        <v>149.81238266578634</v>
      </c>
    </row>
    <row r="1002" spans="1:3" x14ac:dyDescent="0.25">
      <c r="A1002" s="74">
        <v>1000</v>
      </c>
      <c r="B1002" s="74" t="s">
        <v>110</v>
      </c>
      <c r="C1002" s="74">
        <v>149.41759362254035</v>
      </c>
    </row>
    <row r="1003" spans="1:3" x14ac:dyDescent="0.25">
      <c r="A1003" s="74">
        <v>1001</v>
      </c>
      <c r="B1003" s="74" t="s">
        <v>110</v>
      </c>
      <c r="C1003" s="74">
        <v>149.02124092529084</v>
      </c>
    </row>
    <row r="1004" spans="1:3" x14ac:dyDescent="0.25">
      <c r="A1004" s="74">
        <v>1002</v>
      </c>
      <c r="B1004" s="74" t="s">
        <v>110</v>
      </c>
      <c r="C1004" s="74">
        <v>148.62331206405301</v>
      </c>
    </row>
    <row r="1005" spans="1:3" x14ac:dyDescent="0.25">
      <c r="A1005" s="74">
        <v>1003</v>
      </c>
      <c r="B1005" s="74" t="s">
        <v>110</v>
      </c>
      <c r="C1005" s="74">
        <v>148.22379434448621</v>
      </c>
    </row>
    <row r="1006" spans="1:3" x14ac:dyDescent="0.25">
      <c r="A1006" s="74">
        <v>1004</v>
      </c>
      <c r="B1006" s="74" t="s">
        <v>110</v>
      </c>
      <c r="C1006" s="74">
        <v>147.82267488405338</v>
      </c>
    </row>
    <row r="1007" spans="1:3" x14ac:dyDescent="0.25">
      <c r="A1007" s="74">
        <v>1005</v>
      </c>
      <c r="B1007" s="74" t="s">
        <v>110</v>
      </c>
      <c r="C1007" s="74">
        <v>147.41994060807679</v>
      </c>
    </row>
    <row r="1008" spans="1:3" x14ac:dyDescent="0.25">
      <c r="A1008" s="74">
        <v>1006</v>
      </c>
      <c r="B1008" s="74" t="s">
        <v>110</v>
      </c>
      <c r="C1008" s="74">
        <v>147.01557824568656</v>
      </c>
    </row>
    <row r="1009" spans="1:3" x14ac:dyDescent="0.25">
      <c r="A1009" s="74">
        <v>1007</v>
      </c>
      <c r="B1009" s="74" t="s">
        <v>110</v>
      </c>
      <c r="C1009" s="74">
        <v>146.60957432565795</v>
      </c>
    </row>
    <row r="1010" spans="1:3" x14ac:dyDescent="0.25">
      <c r="A1010" s="74">
        <v>1008</v>
      </c>
      <c r="B1010" s="74" t="s">
        <v>110</v>
      </c>
      <c r="C1010" s="74">
        <v>146.20191517213448</v>
      </c>
    </row>
    <row r="1011" spans="1:3" x14ac:dyDescent="0.25">
      <c r="A1011" s="74">
        <v>1009</v>
      </c>
      <c r="B1011" s="74" t="s">
        <v>110</v>
      </c>
      <c r="C1011" s="74">
        <v>145.79258690023207</v>
      </c>
    </row>
    <row r="1012" spans="1:3" x14ac:dyDescent="0.25">
      <c r="A1012" s="74">
        <v>1010</v>
      </c>
      <c r="B1012" s="74" t="s">
        <v>110</v>
      </c>
      <c r="C1012" s="74">
        <v>145.38157541152114</v>
      </c>
    </row>
    <row r="1013" spans="1:3" x14ac:dyDescent="0.25">
      <c r="A1013" s="74">
        <v>1011</v>
      </c>
      <c r="B1013" s="74" t="s">
        <v>110</v>
      </c>
      <c r="C1013" s="74">
        <v>144.96886638938108</v>
      </c>
    </row>
    <row r="1014" spans="1:3" x14ac:dyDescent="0.25">
      <c r="A1014" s="74">
        <v>1012</v>
      </c>
      <c r="B1014" s="74" t="s">
        <v>110</v>
      </c>
      <c r="C1014" s="74">
        <v>144.55444529422465</v>
      </c>
    </row>
    <row r="1015" spans="1:3" x14ac:dyDescent="0.25">
      <c r="A1015" s="74">
        <v>1013</v>
      </c>
      <c r="B1015" s="74" t="s">
        <v>110</v>
      </c>
      <c r="C1015" s="74">
        <v>144.13829735858579</v>
      </c>
    </row>
    <row r="1016" spans="1:3" x14ac:dyDescent="0.25">
      <c r="A1016" s="74">
        <v>1014</v>
      </c>
      <c r="B1016" s="74" t="s">
        <v>110</v>
      </c>
      <c r="C1016" s="74">
        <v>143.72040758206734</v>
      </c>
    </row>
    <row r="1017" spans="1:3" x14ac:dyDescent="0.25">
      <c r="A1017" s="74">
        <v>1015</v>
      </c>
      <c r="B1017" s="74" t="s">
        <v>110</v>
      </c>
      <c r="C1017" s="74">
        <v>143.30076072614321</v>
      </c>
    </row>
    <row r="1018" spans="1:3" x14ac:dyDescent="0.25">
      <c r="A1018" s="74">
        <v>1016</v>
      </c>
      <c r="B1018" s="74" t="s">
        <v>110</v>
      </c>
      <c r="C1018" s="74">
        <v>142.8793413088103</v>
      </c>
    </row>
    <row r="1019" spans="1:3" x14ac:dyDescent="0.25">
      <c r="A1019" s="74">
        <v>1017</v>
      </c>
      <c r="B1019" s="74" t="s">
        <v>110</v>
      </c>
      <c r="C1019" s="74">
        <v>142.45613359908378</v>
      </c>
    </row>
    <row r="1020" spans="1:3" x14ac:dyDescent="0.25">
      <c r="A1020" s="74">
        <v>1018</v>
      </c>
      <c r="B1020" s="74" t="s">
        <v>110</v>
      </c>
      <c r="C1020" s="74">
        <v>142.03112161133151</v>
      </c>
    </row>
    <row r="1021" spans="1:3" x14ac:dyDescent="0.25">
      <c r="A1021" s="74">
        <v>1019</v>
      </c>
      <c r="B1021" s="74" t="s">
        <v>110</v>
      </c>
      <c r="C1021" s="74">
        <v>141.60428909944085</v>
      </c>
    </row>
    <row r="1022" spans="1:3" x14ac:dyDescent="0.25">
      <c r="A1022" s="74">
        <v>1020</v>
      </c>
      <c r="B1022" s="74" t="s">
        <v>110</v>
      </c>
      <c r="C1022" s="74">
        <v>141.1756195508118</v>
      </c>
    </row>
    <row r="1023" spans="1:3" x14ac:dyDescent="0.25">
      <c r="A1023" s="74">
        <v>1021</v>
      </c>
      <c r="B1023" s="74" t="s">
        <v>110</v>
      </c>
      <c r="C1023" s="74">
        <v>140.74509618017046</v>
      </c>
    </row>
    <row r="1024" spans="1:3" x14ac:dyDescent="0.25">
      <c r="A1024" s="74">
        <v>1022</v>
      </c>
      <c r="B1024" s="74" t="s">
        <v>110</v>
      </c>
      <c r="C1024" s="74">
        <v>140.31270192319602</v>
      </c>
    </row>
    <row r="1025" spans="1:3" x14ac:dyDescent="0.25">
      <c r="A1025" s="74">
        <v>1023</v>
      </c>
      <c r="B1025" s="74" t="s">
        <v>110</v>
      </c>
      <c r="C1025" s="74">
        <v>139.87841942995431</v>
      </c>
    </row>
    <row r="1026" spans="1:3" x14ac:dyDescent="0.25">
      <c r="A1026" s="74">
        <v>1024</v>
      </c>
      <c r="B1026" s="74" t="s">
        <v>110</v>
      </c>
      <c r="C1026" s="74">
        <v>139.44223105813077</v>
      </c>
    </row>
    <row r="1027" spans="1:3" x14ac:dyDescent="0.25">
      <c r="A1027" s="74">
        <v>1025</v>
      </c>
      <c r="B1027" s="74" t="s">
        <v>110</v>
      </c>
      <c r="C1027" s="74">
        <v>139.00411886605517</v>
      </c>
    </row>
    <row r="1028" spans="1:3" x14ac:dyDescent="0.25">
      <c r="A1028" s="74">
        <v>1026</v>
      </c>
      <c r="B1028" s="74" t="s">
        <v>110</v>
      </c>
      <c r="C1028" s="74">
        <v>138.56406460551017</v>
      </c>
    </row>
    <row r="1029" spans="1:3" x14ac:dyDescent="0.25">
      <c r="A1029" s="74">
        <v>1027</v>
      </c>
      <c r="B1029" s="74" t="s">
        <v>110</v>
      </c>
      <c r="C1029" s="74">
        <v>138.12204971431589</v>
      </c>
    </row>
    <row r="1030" spans="1:3" x14ac:dyDescent="0.25">
      <c r="A1030" s="74">
        <v>1028</v>
      </c>
      <c r="B1030" s="74" t="s">
        <v>110</v>
      </c>
      <c r="C1030" s="74">
        <v>137.67805530868105</v>
      </c>
    </row>
    <row r="1031" spans="1:3" x14ac:dyDescent="0.25">
      <c r="A1031" s="74">
        <v>1029</v>
      </c>
      <c r="B1031" s="74" t="s">
        <v>110</v>
      </c>
      <c r="C1031" s="74">
        <v>137.23206217531271</v>
      </c>
    </row>
    <row r="1032" spans="1:3" x14ac:dyDescent="0.25">
      <c r="A1032" s="74">
        <v>1030</v>
      </c>
      <c r="B1032" s="74" t="s">
        <v>110</v>
      </c>
      <c r="C1032" s="74">
        <v>136.78405076327383</v>
      </c>
    </row>
    <row r="1033" spans="1:3" x14ac:dyDescent="0.25">
      <c r="A1033" s="74">
        <v>1031</v>
      </c>
      <c r="B1033" s="74" t="s">
        <v>110</v>
      </c>
      <c r="C1033" s="74">
        <v>136.3340011755806</v>
      </c>
    </row>
    <row r="1034" spans="1:3" x14ac:dyDescent="0.25">
      <c r="A1034" s="74">
        <v>1032</v>
      </c>
      <c r="B1034" s="74" t="s">
        <v>110</v>
      </c>
      <c r="C1034" s="74">
        <v>135.88189316052706</v>
      </c>
    </row>
    <row r="1035" spans="1:3" x14ac:dyDescent="0.25">
      <c r="A1035" s="74">
        <v>1033</v>
      </c>
      <c r="B1035" s="74" t="s">
        <v>110</v>
      </c>
      <c r="C1035" s="74">
        <v>135.42770610272817</v>
      </c>
    </row>
    <row r="1036" spans="1:3" x14ac:dyDescent="0.25">
      <c r="A1036" s="74">
        <v>1034</v>
      </c>
      <c r="B1036" s="74" t="s">
        <v>110</v>
      </c>
      <c r="C1036" s="74">
        <v>134.9714190138686</v>
      </c>
    </row>
    <row r="1037" spans="1:3" x14ac:dyDescent="0.25">
      <c r="A1037" s="74">
        <v>1035</v>
      </c>
      <c r="B1037" s="74" t="s">
        <v>110</v>
      </c>
      <c r="C1037" s="74">
        <v>134.51301052314602</v>
      </c>
    </row>
    <row r="1038" spans="1:3" x14ac:dyDescent="0.25">
      <c r="A1038" s="74">
        <v>1036</v>
      </c>
      <c r="B1038" s="74" t="s">
        <v>110</v>
      </c>
      <c r="C1038" s="74">
        <v>134.05245886739661</v>
      </c>
    </row>
    <row r="1039" spans="1:3" x14ac:dyDescent="0.25">
      <c r="A1039" s="74">
        <v>1037</v>
      </c>
      <c r="B1039" s="74" t="s">
        <v>110</v>
      </c>
      <c r="C1039" s="74">
        <v>133.58974188088871</v>
      </c>
    </row>
    <row r="1040" spans="1:3" x14ac:dyDescent="0.25">
      <c r="A1040" s="74">
        <v>1038</v>
      </c>
      <c r="B1040" s="74" t="s">
        <v>110</v>
      </c>
      <c r="C1040" s="74">
        <v>133.1248369847724</v>
      </c>
    </row>
    <row r="1041" spans="1:3" x14ac:dyDescent="0.25">
      <c r="A1041" s="74">
        <v>1039</v>
      </c>
      <c r="B1041" s="74" t="s">
        <v>110</v>
      </c>
      <c r="C1041" s="74">
        <v>132.65772117616947</v>
      </c>
    </row>
    <row r="1042" spans="1:3" x14ac:dyDescent="0.25">
      <c r="A1042" s="74">
        <v>1040</v>
      </c>
      <c r="B1042" s="74" t="s">
        <v>110</v>
      </c>
      <c r="C1042" s="74">
        <v>132.18837101688922</v>
      </c>
    </row>
    <row r="1043" spans="1:3" x14ac:dyDescent="0.25">
      <c r="A1043" s="74">
        <v>1041</v>
      </c>
      <c r="B1043" s="74" t="s">
        <v>110</v>
      </c>
      <c r="C1043" s="74">
        <v>131.71676262175424</v>
      </c>
    </row>
    <row r="1044" spans="1:3" x14ac:dyDescent="0.25">
      <c r="A1044" s="74">
        <v>1042</v>
      </c>
      <c r="B1044" s="74" t="s">
        <v>110</v>
      </c>
      <c r="C1044" s="74">
        <v>131.24287164651912</v>
      </c>
    </row>
    <row r="1045" spans="1:3" x14ac:dyDescent="0.25">
      <c r="A1045" s="74">
        <v>1043</v>
      </c>
      <c r="B1045" s="74" t="s">
        <v>110</v>
      </c>
      <c r="C1045" s="74">
        <v>130.76667327536543</v>
      </c>
    </row>
    <row r="1046" spans="1:3" x14ac:dyDescent="0.25">
      <c r="A1046" s="74">
        <v>1044</v>
      </c>
      <c r="B1046" s="74" t="s">
        <v>110</v>
      </c>
      <c r="C1046" s="74">
        <v>130.28814220795385</v>
      </c>
    </row>
    <row r="1047" spans="1:3" x14ac:dyDescent="0.25">
      <c r="A1047" s="74">
        <v>1045</v>
      </c>
      <c r="B1047" s="74" t="s">
        <v>110</v>
      </c>
      <c r="C1047" s="74">
        <v>129.80725264601423</v>
      </c>
    </row>
    <row r="1048" spans="1:3" x14ac:dyDescent="0.25">
      <c r="A1048" s="74">
        <v>1046</v>
      </c>
      <c r="B1048" s="74" t="s">
        <v>110</v>
      </c>
      <c r="C1048" s="74">
        <v>129.32397827945402</v>
      </c>
    </row>
    <row r="1049" spans="1:3" x14ac:dyDescent="0.25">
      <c r="A1049" s="74">
        <v>1047</v>
      </c>
      <c r="B1049" s="74" t="s">
        <v>110</v>
      </c>
      <c r="C1049" s="74">
        <v>128.83829227196222</v>
      </c>
    </row>
    <row r="1050" spans="1:3" x14ac:dyDescent="0.25">
      <c r="A1050" s="74">
        <v>1048</v>
      </c>
      <c r="B1050" s="74" t="s">
        <v>110</v>
      </c>
      <c r="C1050" s="74">
        <v>128.35016724608803</v>
      </c>
    </row>
    <row r="1051" spans="1:3" x14ac:dyDescent="0.25">
      <c r="A1051" s="74">
        <v>1049</v>
      </c>
      <c r="B1051" s="74" t="s">
        <v>110</v>
      </c>
      <c r="C1051" s="74">
        <v>127.85957526776915</v>
      </c>
    </row>
    <row r="1052" spans="1:3" x14ac:dyDescent="0.25">
      <c r="A1052" s="74">
        <v>1050</v>
      </c>
      <c r="B1052" s="74" t="s">
        <v>110</v>
      </c>
      <c r="C1052" s="74">
        <v>127.36648783028532</v>
      </c>
    </row>
    <row r="1053" spans="1:3" x14ac:dyDescent="0.25">
      <c r="A1053" s="74">
        <v>1051</v>
      </c>
      <c r="B1053" s="74" t="s">
        <v>110</v>
      </c>
      <c r="C1053" s="74">
        <v>126.87087583761087</v>
      </c>
    </row>
    <row r="1054" spans="1:3" x14ac:dyDescent="0.25">
      <c r="A1054" s="74">
        <v>1052</v>
      </c>
      <c r="B1054" s="74" t="s">
        <v>110</v>
      </c>
      <c r="C1054" s="74">
        <v>126.37270958713778</v>
      </c>
    </row>
    <row r="1055" spans="1:3" x14ac:dyDescent="0.25">
      <c r="A1055" s="74">
        <v>1053</v>
      </c>
      <c r="B1055" s="74" t="s">
        <v>110</v>
      </c>
      <c r="C1055" s="74">
        <v>125.87195875174105</v>
      </c>
    </row>
    <row r="1056" spans="1:3" x14ac:dyDescent="0.25">
      <c r="A1056" s="74">
        <v>1054</v>
      </c>
      <c r="B1056" s="74" t="s">
        <v>110</v>
      </c>
      <c r="C1056" s="74">
        <v>125.36859236115434</v>
      </c>
    </row>
    <row r="1057" spans="1:3" x14ac:dyDescent="0.25">
      <c r="A1057" s="74">
        <v>1055</v>
      </c>
      <c r="B1057" s="74" t="s">
        <v>110</v>
      </c>
      <c r="C1057" s="74">
        <v>124.8625787826237</v>
      </c>
    </row>
    <row r="1058" spans="1:3" x14ac:dyDescent="0.25">
      <c r="A1058" s="74">
        <v>1056</v>
      </c>
      <c r="B1058" s="74" t="s">
        <v>110</v>
      </c>
      <c r="C1058" s="74">
        <v>124.35388570080507</v>
      </c>
    </row>
    <row r="1059" spans="1:3" x14ac:dyDescent="0.25">
      <c r="A1059" s="74">
        <v>1057</v>
      </c>
      <c r="B1059" s="74" t="s">
        <v>110</v>
      </c>
      <c r="C1059" s="74">
        <v>123.84248009686826</v>
      </c>
    </row>
    <row r="1060" spans="1:3" x14ac:dyDescent="0.25">
      <c r="A1060" s="74">
        <v>1058</v>
      </c>
      <c r="B1060" s="74" t="s">
        <v>110</v>
      </c>
      <c r="C1060" s="74">
        <v>123.32832822676984</v>
      </c>
    </row>
    <row r="1061" spans="1:3" x14ac:dyDescent="0.25">
      <c r="A1061" s="74">
        <v>1059</v>
      </c>
      <c r="B1061" s="74" t="s">
        <v>110</v>
      </c>
      <c r="C1061" s="74">
        <v>122.81139559865316</v>
      </c>
    </row>
    <row r="1062" spans="1:3" x14ac:dyDescent="0.25">
      <c r="A1062" s="74">
        <v>1060</v>
      </c>
      <c r="B1062" s="74" t="s">
        <v>110</v>
      </c>
      <c r="C1062" s="74">
        <v>122.29164694933276</v>
      </c>
    </row>
    <row r="1063" spans="1:3" x14ac:dyDescent="0.25">
      <c r="A1063" s="74">
        <v>1061</v>
      </c>
      <c r="B1063" s="74" t="s">
        <v>110</v>
      </c>
      <c r="C1063" s="74">
        <v>121.76904621981708</v>
      </c>
    </row>
    <row r="1064" spans="1:3" x14ac:dyDescent="0.25">
      <c r="A1064" s="74">
        <v>1062</v>
      </c>
      <c r="B1064" s="74" t="s">
        <v>110</v>
      </c>
      <c r="C1064" s="74">
        <v>121.2435565298214</v>
      </c>
    </row>
    <row r="1065" spans="1:3" x14ac:dyDescent="0.25">
      <c r="A1065" s="74">
        <v>1063</v>
      </c>
      <c r="B1065" s="74" t="s">
        <v>110</v>
      </c>
      <c r="C1065" s="74">
        <v>120.7151401512188</v>
      </c>
    </row>
    <row r="1066" spans="1:3" x14ac:dyDescent="0.25">
      <c r="A1066" s="74">
        <v>1064</v>
      </c>
      <c r="B1066" s="74" t="s">
        <v>110</v>
      </c>
      <c r="C1066" s="74">
        <v>120.18375848037509</v>
      </c>
    </row>
    <row r="1067" spans="1:3" x14ac:dyDescent="0.25">
      <c r="A1067" s="74">
        <v>1065</v>
      </c>
      <c r="B1067" s="74" t="s">
        <v>110</v>
      </c>
      <c r="C1067" s="74">
        <v>119.64937200930986</v>
      </c>
    </row>
    <row r="1068" spans="1:3" x14ac:dyDescent="0.25">
      <c r="A1068" s="74">
        <v>1066</v>
      </c>
      <c r="B1068" s="74" t="s">
        <v>110</v>
      </c>
      <c r="C1068" s="74">
        <v>119.11194029562132</v>
      </c>
    </row>
    <row r="1069" spans="1:3" x14ac:dyDescent="0.25">
      <c r="A1069" s="74">
        <v>1067</v>
      </c>
      <c r="B1069" s="74" t="s">
        <v>110</v>
      </c>
      <c r="C1069" s="74">
        <v>118.57142193111051</v>
      </c>
    </row>
    <row r="1070" spans="1:3" x14ac:dyDescent="0.25">
      <c r="A1070" s="74">
        <v>1068</v>
      </c>
      <c r="B1070" s="74" t="s">
        <v>110</v>
      </c>
      <c r="C1070" s="74">
        <v>118.02777450903476</v>
      </c>
    </row>
    <row r="1071" spans="1:3" x14ac:dyDescent="0.25">
      <c r="A1071" s="74">
        <v>1069</v>
      </c>
      <c r="B1071" s="74" t="s">
        <v>110</v>
      </c>
      <c r="C1071" s="74">
        <v>117.48095458991651</v>
      </c>
    </row>
    <row r="1072" spans="1:3" x14ac:dyDescent="0.25">
      <c r="A1072" s="74">
        <v>1070</v>
      </c>
      <c r="B1072" s="74" t="s">
        <v>110</v>
      </c>
      <c r="C1072" s="74">
        <v>116.93091766582884</v>
      </c>
    </row>
    <row r="1073" spans="1:3" x14ac:dyDescent="0.25">
      <c r="A1073" s="74">
        <v>1071</v>
      </c>
      <c r="B1073" s="74" t="s">
        <v>110</v>
      </c>
      <c r="C1073" s="74">
        <v>116.37761812307382</v>
      </c>
    </row>
    <row r="1074" spans="1:3" x14ac:dyDescent="0.25">
      <c r="A1074" s="74">
        <v>1072</v>
      </c>
      <c r="B1074" s="74" t="s">
        <v>110</v>
      </c>
      <c r="C1074" s="74">
        <v>115.82100920316444</v>
      </c>
    </row>
    <row r="1075" spans="1:3" x14ac:dyDescent="0.25">
      <c r="A1075" s="74">
        <v>1073</v>
      </c>
      <c r="B1075" s="74" t="s">
        <v>110</v>
      </c>
      <c r="C1075" s="74">
        <v>115.2610429620145</v>
      </c>
    </row>
    <row r="1076" spans="1:3" x14ac:dyDescent="0.25">
      <c r="A1076" s="74">
        <v>1074</v>
      </c>
      <c r="B1076" s="74" t="s">
        <v>110</v>
      </c>
      <c r="C1076" s="74">
        <v>114.69767022723501</v>
      </c>
    </row>
    <row r="1077" spans="1:3" x14ac:dyDescent="0.25">
      <c r="A1077" s="74">
        <v>1075</v>
      </c>
      <c r="B1077" s="74" t="s">
        <v>110</v>
      </c>
      <c r="C1077" s="74">
        <v>114.13084055342841</v>
      </c>
    </row>
    <row r="1078" spans="1:3" x14ac:dyDescent="0.25">
      <c r="A1078" s="74">
        <v>1076</v>
      </c>
      <c r="B1078" s="74" t="s">
        <v>110</v>
      </c>
      <c r="C1078" s="74">
        <v>113.56050217536462</v>
      </c>
    </row>
    <row r="1079" spans="1:3" x14ac:dyDescent="0.25">
      <c r="A1079" s="74">
        <v>1077</v>
      </c>
      <c r="B1079" s="74" t="s">
        <v>110</v>
      </c>
      <c r="C1079" s="74">
        <v>112.98660195891468</v>
      </c>
    </row>
    <row r="1080" spans="1:3" x14ac:dyDescent="0.25">
      <c r="A1080" s="74">
        <v>1078</v>
      </c>
      <c r="B1080" s="74" t="s">
        <v>110</v>
      </c>
      <c r="C1080" s="74">
        <v>112.40908534960954</v>
      </c>
    </row>
    <row r="1081" spans="1:3" x14ac:dyDescent="0.25">
      <c r="A1081" s="74">
        <v>1079</v>
      </c>
      <c r="B1081" s="74" t="s">
        <v>110</v>
      </c>
      <c r="C1081" s="74">
        <v>111.82789631868127</v>
      </c>
    </row>
    <row r="1082" spans="1:3" x14ac:dyDescent="0.25">
      <c r="A1082" s="74">
        <v>1080</v>
      </c>
      <c r="B1082" s="74" t="s">
        <v>110</v>
      </c>
      <c r="C1082" s="74">
        <v>111.24297730643497</v>
      </c>
    </row>
    <row r="1083" spans="1:3" x14ac:dyDescent="0.25">
      <c r="A1083" s="74">
        <v>1081</v>
      </c>
      <c r="B1083" s="74" t="s">
        <v>110</v>
      </c>
      <c r="C1083" s="74">
        <v>110.65426916278746</v>
      </c>
    </row>
    <row r="1084" spans="1:3" x14ac:dyDescent="0.25">
      <c r="A1084" s="74">
        <v>1082</v>
      </c>
      <c r="B1084" s="74" t="s">
        <v>110</v>
      </c>
      <c r="C1084" s="74">
        <v>110.06171108479816</v>
      </c>
    </row>
    <row r="1085" spans="1:3" x14ac:dyDescent="0.25">
      <c r="A1085" s="74">
        <v>1083</v>
      </c>
      <c r="B1085" s="74" t="s">
        <v>110</v>
      </c>
      <c r="C1085" s="74">
        <v>109.46524055100272</v>
      </c>
    </row>
    <row r="1086" spans="1:3" x14ac:dyDescent="0.25">
      <c r="A1086" s="74">
        <v>1084</v>
      </c>
      <c r="B1086" s="74" t="s">
        <v>110</v>
      </c>
      <c r="C1086" s="74">
        <v>108.86479325234832</v>
      </c>
    </row>
    <row r="1087" spans="1:3" x14ac:dyDescent="0.25">
      <c r="A1087" s="74">
        <v>1085</v>
      </c>
      <c r="B1087" s="74" t="s">
        <v>110</v>
      </c>
      <c r="C1087" s="74">
        <v>108.26030301951191</v>
      </c>
    </row>
    <row r="1088" spans="1:3" x14ac:dyDescent="0.25">
      <c r="A1088" s="74">
        <v>1086</v>
      </c>
      <c r="B1088" s="74" t="s">
        <v>110</v>
      </c>
      <c r="C1088" s="74">
        <v>107.65170174636762</v>
      </c>
    </row>
    <row r="1089" spans="1:3" x14ac:dyDescent="0.25">
      <c r="A1089" s="74">
        <v>1087</v>
      </c>
      <c r="B1089" s="74" t="s">
        <v>110</v>
      </c>
      <c r="C1089" s="74">
        <v>107.03891930935018</v>
      </c>
    </row>
    <row r="1090" spans="1:3" x14ac:dyDescent="0.25">
      <c r="A1090" s="74">
        <v>1088</v>
      </c>
      <c r="B1090" s="74" t="s">
        <v>110</v>
      </c>
      <c r="C1090" s="74">
        <v>106.42188348244272</v>
      </c>
    </row>
    <row r="1091" spans="1:3" x14ac:dyDescent="0.25">
      <c r="A1091" s="74">
        <v>1089</v>
      </c>
      <c r="B1091" s="74" t="s">
        <v>110</v>
      </c>
      <c r="C1091" s="74">
        <v>105.80051984749413</v>
      </c>
    </row>
    <row r="1092" spans="1:3" x14ac:dyDescent="0.25">
      <c r="A1092" s="74">
        <v>1090</v>
      </c>
      <c r="B1092" s="74" t="s">
        <v>110</v>
      </c>
      <c r="C1092" s="74">
        <v>105.17475169954872</v>
      </c>
    </row>
    <row r="1093" spans="1:3" x14ac:dyDescent="0.25">
      <c r="A1093" s="74">
        <v>1091</v>
      </c>
      <c r="B1093" s="74" t="s">
        <v>110</v>
      </c>
      <c r="C1093" s="74">
        <v>104.54449994684467</v>
      </c>
    </row>
    <row r="1094" spans="1:3" x14ac:dyDescent="0.25">
      <c r="A1094" s="74">
        <v>1092</v>
      </c>
      <c r="B1094" s="74" t="s">
        <v>110</v>
      </c>
      <c r="C1094" s="74">
        <v>103.90968300510892</v>
      </c>
    </row>
    <row r="1095" spans="1:3" x14ac:dyDescent="0.25">
      <c r="A1095" s="74">
        <v>1093</v>
      </c>
      <c r="B1095" s="74" t="s">
        <v>110</v>
      </c>
      <c r="C1095" s="74">
        <v>103.27021668574626</v>
      </c>
    </row>
    <row r="1096" spans="1:3" x14ac:dyDescent="0.25">
      <c r="A1096" s="74">
        <v>1094</v>
      </c>
      <c r="B1096" s="74" t="s">
        <v>110</v>
      </c>
      <c r="C1096" s="74">
        <v>102.62601407748475</v>
      </c>
    </row>
    <row r="1097" spans="1:3" x14ac:dyDescent="0.25">
      <c r="A1097" s="74">
        <v>1095</v>
      </c>
      <c r="B1097" s="74" t="s">
        <v>110</v>
      </c>
      <c r="C1097" s="74">
        <v>101.97698542100348</v>
      </c>
    </row>
    <row r="1098" spans="1:3" x14ac:dyDescent="0.25">
      <c r="A1098" s="74">
        <v>1096</v>
      </c>
      <c r="B1098" s="74" t="s">
        <v>110</v>
      </c>
      <c r="C1098" s="74">
        <v>101.32303797602675</v>
      </c>
    </row>
    <row r="1099" spans="1:3" x14ac:dyDescent="0.25">
      <c r="A1099" s="74">
        <v>1097</v>
      </c>
      <c r="B1099" s="74" t="s">
        <v>110</v>
      </c>
      <c r="C1099" s="74">
        <v>100.6640758803234</v>
      </c>
    </row>
    <row r="1100" spans="1:3" x14ac:dyDescent="0.25">
      <c r="A1100" s="74">
        <v>1098</v>
      </c>
      <c r="B1100" s="74" t="s">
        <v>110</v>
      </c>
      <c r="C1100" s="74">
        <v>99.999999999999986</v>
      </c>
    </row>
    <row r="1101" spans="1:3" x14ac:dyDescent="0.25">
      <c r="A1101" s="74">
        <v>1099</v>
      </c>
      <c r="B1101" s="74" t="s">
        <v>110</v>
      </c>
      <c r="C1101" s="74">
        <v>99.330707770421327</v>
      </c>
    </row>
    <row r="1102" spans="1:3" x14ac:dyDescent="0.25">
      <c r="A1102" s="74">
        <v>1100</v>
      </c>
      <c r="B1102" s="74" t="s">
        <v>110</v>
      </c>
      <c r="C1102" s="74">
        <v>98.656093027030138</v>
      </c>
    </row>
    <row r="1103" spans="1:3" x14ac:dyDescent="0.25">
      <c r="A1103" s="74">
        <v>1101</v>
      </c>
      <c r="B1103" s="74" t="s">
        <v>110</v>
      </c>
      <c r="C1103" s="74">
        <v>97.976045825270774</v>
      </c>
    </row>
    <row r="1104" spans="1:3" x14ac:dyDescent="0.25">
      <c r="A1104" s="74">
        <v>1102</v>
      </c>
      <c r="B1104" s="74" t="s">
        <v>110</v>
      </c>
      <c r="C1104" s="74">
        <v>97.290452248745524</v>
      </c>
    </row>
    <row r="1105" spans="1:3" x14ac:dyDescent="0.25">
      <c r="A1105" s="74">
        <v>1103</v>
      </c>
      <c r="B1105" s="74" t="s">
        <v>110</v>
      </c>
      <c r="C1105" s="74">
        <v>96.599194204649834</v>
      </c>
    </row>
    <row r="1106" spans="1:3" x14ac:dyDescent="0.25">
      <c r="A1106" s="74">
        <v>1104</v>
      </c>
      <c r="B1106" s="74" t="s">
        <v>110</v>
      </c>
      <c r="C1106" s="74">
        <v>95.902149205438661</v>
      </c>
    </row>
    <row r="1107" spans="1:3" x14ac:dyDescent="0.25">
      <c r="A1107" s="74">
        <v>1105</v>
      </c>
      <c r="B1107" s="74" t="s">
        <v>110</v>
      </c>
      <c r="C1107" s="74">
        <v>95.199190135573829</v>
      </c>
    </row>
    <row r="1108" spans="1:3" x14ac:dyDescent="0.25">
      <c r="A1108" s="74">
        <v>1106</v>
      </c>
      <c r="B1108" s="74" t="s">
        <v>110</v>
      </c>
      <c r="C1108" s="74">
        <v>94.490185002085781</v>
      </c>
    </row>
    <row r="1109" spans="1:3" x14ac:dyDescent="0.25">
      <c r="A1109" s="74">
        <v>1107</v>
      </c>
      <c r="B1109" s="74" t="s">
        <v>110</v>
      </c>
      <c r="C1109" s="74">
        <v>93.774996667555257</v>
      </c>
    </row>
    <row r="1110" spans="1:3" x14ac:dyDescent="0.25">
      <c r="A1110" s="74">
        <v>1108</v>
      </c>
      <c r="B1110" s="74" t="s">
        <v>110</v>
      </c>
      <c r="C1110" s="74">
        <v>93.053482563974725</v>
      </c>
    </row>
    <row r="1111" spans="1:3" x14ac:dyDescent="0.25">
      <c r="A1111" s="74">
        <v>1109</v>
      </c>
      <c r="B1111" s="74" t="s">
        <v>110</v>
      </c>
      <c r="C1111" s="74">
        <v>92.325494385788389</v>
      </c>
    </row>
    <row r="1112" spans="1:3" x14ac:dyDescent="0.25">
      <c r="A1112" s="74">
        <v>1110</v>
      </c>
      <c r="B1112" s="74" t="s">
        <v>110</v>
      </c>
      <c r="C1112" s="74">
        <v>91.590877760227229</v>
      </c>
    </row>
    <row r="1113" spans="1:3" x14ac:dyDescent="0.25">
      <c r="A1113" s="74">
        <v>1111</v>
      </c>
      <c r="B1113" s="74" t="s">
        <v>110</v>
      </c>
      <c r="C1113" s="74">
        <v>90.849471892850758</v>
      </c>
    </row>
    <row r="1114" spans="1:3" x14ac:dyDescent="0.25">
      <c r="A1114" s="74">
        <v>1112</v>
      </c>
      <c r="B1114" s="74" t="s">
        <v>110</v>
      </c>
      <c r="C1114" s="74">
        <v>90.101109185976213</v>
      </c>
    </row>
    <row r="1115" spans="1:3" x14ac:dyDescent="0.25">
      <c r="A1115" s="74">
        <v>1113</v>
      </c>
      <c r="B1115" s="74" t="s">
        <v>110</v>
      </c>
      <c r="C1115" s="74">
        <v>89.345614827415488</v>
      </c>
    </row>
    <row r="1116" spans="1:3" x14ac:dyDescent="0.25">
      <c r="A1116" s="74">
        <v>1114</v>
      </c>
      <c r="B1116" s="74" t="s">
        <v>110</v>
      </c>
      <c r="C1116" s="74">
        <v>88.582806346643309</v>
      </c>
    </row>
    <row r="1117" spans="1:3" x14ac:dyDescent="0.25">
      <c r="A1117" s="74">
        <v>1115</v>
      </c>
      <c r="B1117" s="74" t="s">
        <v>110</v>
      </c>
      <c r="C1117" s="74">
        <v>87.812493135187097</v>
      </c>
    </row>
    <row r="1118" spans="1:3" x14ac:dyDescent="0.25">
      <c r="A1118" s="74">
        <v>1116</v>
      </c>
      <c r="B1118" s="74" t="s">
        <v>110</v>
      </c>
      <c r="C1118" s="74">
        <v>87.034475927646042</v>
      </c>
    </row>
    <row r="1119" spans="1:3" x14ac:dyDescent="0.25">
      <c r="A1119" s="74">
        <v>1117</v>
      </c>
      <c r="B1119" s="74" t="s">
        <v>110</v>
      </c>
      <c r="C1119" s="74">
        <v>86.248546239313853</v>
      </c>
    </row>
    <row r="1120" spans="1:3" x14ac:dyDescent="0.25">
      <c r="A1120" s="74">
        <v>1118</v>
      </c>
      <c r="B1120" s="74" t="s">
        <v>110</v>
      </c>
      <c r="C1120" s="74">
        <v>85.454485755883354</v>
      </c>
    </row>
    <row r="1121" spans="1:3" x14ac:dyDescent="0.25">
      <c r="A1121" s="74">
        <v>1119</v>
      </c>
      <c r="B1121" s="74" t="s">
        <v>110</v>
      </c>
      <c r="C1121" s="74">
        <v>84.652065670143131</v>
      </c>
    </row>
    <row r="1122" spans="1:3" x14ac:dyDescent="0.25">
      <c r="A1122" s="74">
        <v>1120</v>
      </c>
      <c r="B1122" s="74" t="s">
        <v>110</v>
      </c>
      <c r="C1122" s="74">
        <v>83.841045959925395</v>
      </c>
    </row>
    <row r="1123" spans="1:3" x14ac:dyDescent="0.25">
      <c r="A1123" s="74">
        <v>1121</v>
      </c>
      <c r="B1123" s="74" t="s">
        <v>110</v>
      </c>
      <c r="C1123" s="74">
        <v>83.021174600813524</v>
      </c>
    </row>
    <row r="1124" spans="1:3" x14ac:dyDescent="0.25">
      <c r="A1124" s="74">
        <v>1122</v>
      </c>
      <c r="B1124" s="74" t="s">
        <v>110</v>
      </c>
      <c r="C1124" s="74">
        <v>82.19218670625304</v>
      </c>
    </row>
    <row r="1125" spans="1:3" x14ac:dyDescent="0.25">
      <c r="A1125" s="74">
        <v>1123</v>
      </c>
      <c r="B1125" s="74" t="s">
        <v>110</v>
      </c>
      <c r="C1125" s="74">
        <v>81.353803586708182</v>
      </c>
    </row>
    <row r="1126" spans="1:3" x14ac:dyDescent="0.25">
      <c r="A1126" s="74">
        <v>1124</v>
      </c>
      <c r="B1126" s="74" t="s">
        <v>110</v>
      </c>
      <c r="C1126" s="74">
        <v>80.505731718345203</v>
      </c>
    </row>
    <row r="1127" spans="1:3" x14ac:dyDescent="0.25">
      <c r="A1127" s="74">
        <v>1125</v>
      </c>
      <c r="B1127" s="74" t="s">
        <v>110</v>
      </c>
      <c r="C1127" s="74">
        <v>79.647661610369951</v>
      </c>
    </row>
    <row r="1128" spans="1:3" x14ac:dyDescent="0.25">
      <c r="A1128" s="74">
        <v>1126</v>
      </c>
      <c r="B1128" s="74" t="s">
        <v>110</v>
      </c>
      <c r="C1128" s="74">
        <v>78.779266558569688</v>
      </c>
    </row>
    <row r="1129" spans="1:3" x14ac:dyDescent="0.25">
      <c r="A1129" s="74">
        <v>1127</v>
      </c>
      <c r="B1129" s="74" t="s">
        <v>110</v>
      </c>
      <c r="C1129" s="74">
        <v>77.900201270758544</v>
      </c>
    </row>
    <row r="1130" spans="1:3" x14ac:dyDescent="0.25">
      <c r="A1130" s="74">
        <v>1128</v>
      </c>
      <c r="B1130" s="74" t="s">
        <v>110</v>
      </c>
      <c r="C1130" s="74">
        <v>77.010100347652795</v>
      </c>
    </row>
    <row r="1131" spans="1:3" x14ac:dyDescent="0.25">
      <c r="A1131" s="74">
        <v>1129</v>
      </c>
      <c r="B1131" s="74" t="s">
        <v>110</v>
      </c>
      <c r="C1131" s="74">
        <v>76.108576600136004</v>
      </c>
    </row>
    <row r="1132" spans="1:3" x14ac:dyDescent="0.25">
      <c r="A1132" s="74">
        <v>1130</v>
      </c>
      <c r="B1132" s="74" t="s">
        <v>110</v>
      </c>
      <c r="C1132" s="74">
        <v>75.195219180838336</v>
      </c>
    </row>
    <row r="1133" spans="1:3" x14ac:dyDescent="0.25">
      <c r="A1133" s="74">
        <v>1131</v>
      </c>
      <c r="B1133" s="74" t="s">
        <v>110</v>
      </c>
      <c r="C1133" s="74">
        <v>74.269591504344632</v>
      </c>
    </row>
    <row r="1134" spans="1:3" x14ac:dyDescent="0.25">
      <c r="A1134" s="74">
        <v>1132</v>
      </c>
      <c r="B1134" s="74" t="s">
        <v>110</v>
      </c>
      <c r="C1134" s="74">
        <v>73.331228926034456</v>
      </c>
    </row>
    <row r="1135" spans="1:3" x14ac:dyDescent="0.25">
      <c r="A1135" s="74">
        <v>1133</v>
      </c>
      <c r="B1135" s="74" t="s">
        <v>110</v>
      </c>
      <c r="C1135" s="74">
        <v>72.379636144395349</v>
      </c>
    </row>
    <row r="1136" spans="1:3" x14ac:dyDescent="0.25">
      <c r="A1136" s="74">
        <v>1134</v>
      </c>
      <c r="B1136" s="74" t="s">
        <v>110</v>
      </c>
      <c r="C1136" s="74">
        <v>71.414284285428494</v>
      </c>
    </row>
    <row r="1137" spans="1:3" x14ac:dyDescent="0.25">
      <c r="A1137" s="74">
        <v>1135</v>
      </c>
      <c r="B1137" s="74" t="s">
        <v>110</v>
      </c>
      <c r="C1137" s="74">
        <v>70.434607620240811</v>
      </c>
    </row>
    <row r="1138" spans="1:3" x14ac:dyDescent="0.25">
      <c r="A1138" s="74">
        <v>1136</v>
      </c>
      <c r="B1138" s="74" t="s">
        <v>110</v>
      </c>
      <c r="C1138" s="74">
        <v>69.439999857768697</v>
      </c>
    </row>
    <row r="1139" spans="1:3" x14ac:dyDescent="0.25">
      <c r="A1139" s="74">
        <v>1137</v>
      </c>
      <c r="B1139" s="74" t="s">
        <v>110</v>
      </c>
      <c r="C1139" s="74">
        <v>68.429809943392996</v>
      </c>
    </row>
    <row r="1140" spans="1:3" x14ac:dyDescent="0.25">
      <c r="A1140" s="74">
        <v>1138</v>
      </c>
      <c r="B1140" s="74" t="s">
        <v>110</v>
      </c>
      <c r="C1140" s="74">
        <v>67.40333728045826</v>
      </c>
    </row>
    <row r="1141" spans="1:3" x14ac:dyDescent="0.25">
      <c r="A1141" s="74">
        <v>1139</v>
      </c>
      <c r="B1141" s="74" t="s">
        <v>110</v>
      </c>
      <c r="C1141" s="74">
        <v>66.359826274711409</v>
      </c>
    </row>
    <row r="1142" spans="1:3" x14ac:dyDescent="0.25">
      <c r="A1142" s="74">
        <v>1140</v>
      </c>
      <c r="B1142" s="74" t="s">
        <v>110</v>
      </c>
      <c r="C1142" s="74">
        <v>65.298460080532479</v>
      </c>
    </row>
    <row r="1143" spans="1:3" x14ac:dyDescent="0.25">
      <c r="A1143" s="74">
        <v>1141</v>
      </c>
      <c r="B1143" s="74" t="s">
        <v>110</v>
      </c>
      <c r="C1143" s="74">
        <v>64.218353401346604</v>
      </c>
    </row>
    <row r="1144" spans="1:3" x14ac:dyDescent="0.25">
      <c r="A1144" s="74">
        <v>1142</v>
      </c>
      <c r="B1144" s="74" t="s">
        <v>110</v>
      </c>
      <c r="C1144" s="74">
        <v>63.118544163216818</v>
      </c>
    </row>
    <row r="1145" spans="1:3" x14ac:dyDescent="0.25">
      <c r="A1145" s="74">
        <v>1143</v>
      </c>
      <c r="B1145" s="74" t="s">
        <v>110</v>
      </c>
      <c r="C1145" s="74">
        <v>61.997983838186208</v>
      </c>
    </row>
    <row r="1146" spans="1:3" x14ac:dyDescent="0.25">
      <c r="A1146" s="74">
        <v>1144</v>
      </c>
      <c r="B1146" s="74" t="s">
        <v>110</v>
      </c>
      <c r="C1146" s="74">
        <v>60.855526139607015</v>
      </c>
    </row>
    <row r="1147" spans="1:3" x14ac:dyDescent="0.25">
      <c r="A1147" s="74">
        <v>1145</v>
      </c>
      <c r="B1147" s="74" t="s">
        <v>110</v>
      </c>
      <c r="C1147" s="74">
        <v>59.689913741511923</v>
      </c>
    </row>
    <row r="1148" spans="1:3" x14ac:dyDescent="0.25">
      <c r="A1148" s="74">
        <v>1146</v>
      </c>
      <c r="B1148" s="74" t="s">
        <v>110</v>
      </c>
      <c r="C1148" s="74">
        <v>58.499762582614146</v>
      </c>
    </row>
    <row r="1149" spans="1:3" x14ac:dyDescent="0.25">
      <c r="A1149" s="74">
        <v>1147</v>
      </c>
      <c r="B1149" s="74" t="s">
        <v>110</v>
      </c>
      <c r="C1149" s="74">
        <v>57.283543195124182</v>
      </c>
    </row>
    <row r="1150" spans="1:3" x14ac:dyDescent="0.25">
      <c r="A1150" s="74">
        <v>1148</v>
      </c>
      <c r="B1150" s="74" t="s">
        <v>110</v>
      </c>
      <c r="C1150" s="74">
        <v>56.039558338422268</v>
      </c>
    </row>
    <row r="1151" spans="1:3" x14ac:dyDescent="0.25">
      <c r="A1151" s="74">
        <v>1149</v>
      </c>
      <c r="B1151" s="74" t="s">
        <v>110</v>
      </c>
      <c r="C1151" s="74">
        <v>54.76591600215918</v>
      </c>
    </row>
    <row r="1152" spans="1:3" x14ac:dyDescent="0.25">
      <c r="A1152" s="74">
        <v>1150</v>
      </c>
      <c r="B1152" s="74" t="s">
        <v>110</v>
      </c>
      <c r="C1152" s="74">
        <v>53.460496549864033</v>
      </c>
    </row>
    <row r="1153" spans="1:3" x14ac:dyDescent="0.25">
      <c r="A1153" s="74">
        <v>1151</v>
      </c>
      <c r="B1153" s="74" t="s">
        <v>110</v>
      </c>
      <c r="C1153" s="74">
        <v>52.120912368960319</v>
      </c>
    </row>
    <row r="1154" spans="1:3" x14ac:dyDescent="0.25">
      <c r="A1154" s="74">
        <v>1152</v>
      </c>
      <c r="B1154" s="74" t="s">
        <v>110</v>
      </c>
      <c r="C1154" s="74">
        <v>50.744457825461069</v>
      </c>
    </row>
    <row r="1155" spans="1:3" x14ac:dyDescent="0.25">
      <c r="A1155" s="74">
        <v>1153</v>
      </c>
      <c r="B1155" s="74" t="s">
        <v>110</v>
      </c>
      <c r="C1155" s="74">
        <v>49.328046513515091</v>
      </c>
    </row>
    <row r="1156" spans="1:3" x14ac:dyDescent="0.25">
      <c r="A1156" s="74">
        <v>1154</v>
      </c>
      <c r="B1156" s="74" t="s">
        <v>110</v>
      </c>
      <c r="C1156" s="74">
        <v>47.868131618973379</v>
      </c>
    </row>
    <row r="1157" spans="1:3" x14ac:dyDescent="0.25">
      <c r="A1157" s="74">
        <v>1155</v>
      </c>
      <c r="B1157" s="74" t="s">
        <v>110</v>
      </c>
      <c r="C1157" s="74">
        <v>46.360603485670417</v>
      </c>
    </row>
    <row r="1158" spans="1:3" x14ac:dyDescent="0.25">
      <c r="A1158" s="74">
        <v>1156</v>
      </c>
      <c r="B1158" s="74" t="s">
        <v>110</v>
      </c>
      <c r="C1158" s="74">
        <v>44.800655859396755</v>
      </c>
    </row>
    <row r="1159" spans="1:3" x14ac:dyDescent="0.25">
      <c r="A1159" s="74">
        <v>1157</v>
      </c>
      <c r="B1159" s="74" t="s">
        <v>110</v>
      </c>
      <c r="C1159" s="74">
        <v>43.182608238977252</v>
      </c>
    </row>
    <row r="1160" spans="1:3" x14ac:dyDescent="0.25">
      <c r="A1160" s="74">
        <v>1158</v>
      </c>
      <c r="B1160" s="74" t="s">
        <v>110</v>
      </c>
      <c r="C1160" s="74">
        <v>41.499665326629135</v>
      </c>
    </row>
    <row r="1161" spans="1:3" x14ac:dyDescent="0.25">
      <c r="A1161" s="74">
        <v>1159</v>
      </c>
      <c r="B1161" s="74" t="s">
        <v>110</v>
      </c>
      <c r="C1161" s="74">
        <v>39.743583999631987</v>
      </c>
    </row>
    <row r="1162" spans="1:3" x14ac:dyDescent="0.25">
      <c r="A1162" s="74">
        <v>1160</v>
      </c>
      <c r="B1162" s="74" t="s">
        <v>110</v>
      </c>
      <c r="C1162" s="74">
        <v>37.904200229812652</v>
      </c>
    </row>
    <row r="1163" spans="1:3" x14ac:dyDescent="0.25">
      <c r="A1163" s="74">
        <v>1161</v>
      </c>
      <c r="B1163" s="74" t="s">
        <v>110</v>
      </c>
      <c r="C1163" s="74">
        <v>35.968736424845432</v>
      </c>
    </row>
    <row r="1164" spans="1:3" x14ac:dyDescent="0.25">
      <c r="A1164" s="74">
        <v>1162</v>
      </c>
      <c r="B1164" s="74" t="s">
        <v>110</v>
      </c>
      <c r="C1164" s="74">
        <v>33.920750049941631</v>
      </c>
    </row>
    <row r="1165" spans="1:3" x14ac:dyDescent="0.25">
      <c r="A1165" s="74">
        <v>1163</v>
      </c>
      <c r="B1165" s="74" t="s">
        <v>110</v>
      </c>
      <c r="C1165" s="74">
        <v>31.738466360452623</v>
      </c>
    </row>
    <row r="1166" spans="1:3" x14ac:dyDescent="0.25">
      <c r="A1166" s="74">
        <v>1164</v>
      </c>
      <c r="B1166" s="74" t="s">
        <v>110</v>
      </c>
      <c r="C1166" s="74">
        <v>29.391986814247346</v>
      </c>
    </row>
    <row r="1167" spans="1:3" x14ac:dyDescent="0.25">
      <c r="A1167" s="74">
        <v>1165</v>
      </c>
      <c r="B1167" s="74" t="s">
        <v>110</v>
      </c>
      <c r="C1167" s="74">
        <v>26.838278817326273</v>
      </c>
    </row>
    <row r="1168" spans="1:3" x14ac:dyDescent="0.25">
      <c r="A1168" s="74">
        <v>1166</v>
      </c>
      <c r="B1168" s="74" t="s">
        <v>110</v>
      </c>
      <c r="C1168" s="74">
        <v>24.011314205527057</v>
      </c>
    </row>
    <row r="1169" spans="1:3" x14ac:dyDescent="0.25">
      <c r="A1169" s="74">
        <v>1167</v>
      </c>
      <c r="B1169" s="74" t="s">
        <v>110</v>
      </c>
      <c r="C1169" s="74">
        <v>20.799973290581086</v>
      </c>
    </row>
    <row r="1170" spans="1:3" x14ac:dyDescent="0.25">
      <c r="A1170" s="74">
        <v>1168</v>
      </c>
      <c r="B1170" s="74" t="s">
        <v>110</v>
      </c>
      <c r="C1170" s="74">
        <v>16.987649834911895</v>
      </c>
    </row>
    <row r="1171" spans="1:3" x14ac:dyDescent="0.25">
      <c r="A1171" s="74">
        <v>1169</v>
      </c>
      <c r="B1171" s="74" t="s">
        <v>110</v>
      </c>
      <c r="C1171" s="74">
        <v>12.015293752156769</v>
      </c>
    </row>
    <row r="1172" spans="1:3" x14ac:dyDescent="0.25">
      <c r="A1172" s="74">
        <v>1170</v>
      </c>
      <c r="B1172" s="74" t="s">
        <v>110</v>
      </c>
      <c r="C1172" s="7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103</vt:i4>
      </vt:variant>
    </vt:vector>
  </HeadingPairs>
  <TitlesOfParts>
    <vt:vector size="109" baseType="lpstr">
      <vt:lpstr>Rating</vt:lpstr>
      <vt:lpstr>Summary</vt:lpstr>
      <vt:lpstr>Pulse</vt:lpstr>
      <vt:lpstr>Channel Comments</vt:lpstr>
      <vt:lpstr>IIWPG Target Pulse</vt:lpstr>
      <vt:lpstr>Neck Force Corridors</vt:lpstr>
      <vt:lpstr>Accel_AvgG</vt:lpstr>
      <vt:lpstr>Accel_Peak</vt:lpstr>
      <vt:lpstr>Accel_TimeToZero</vt:lpstr>
      <vt:lpstr>Accel_TotalDeltaV</vt:lpstr>
      <vt:lpstr>Accel_ZeroMS</vt:lpstr>
      <vt:lpstr>antiwhiplash</vt:lpstr>
      <vt:lpstr>ATD_h</vt:lpstr>
      <vt:lpstr>ATD_v</vt:lpstr>
      <vt:lpstr>ATDBuildLevel</vt:lpstr>
      <vt:lpstr>ATDID</vt:lpstr>
      <vt:lpstr>BioRID_Test_Number</vt:lpstr>
      <vt:lpstr>Comment</vt:lpstr>
      <vt:lpstr>cushionextension</vt:lpstr>
      <vt:lpstr>DeltaV_Criteria</vt:lpstr>
      <vt:lpstr>DeltaV_kph</vt:lpstr>
      <vt:lpstr>Dynamic_Rating</vt:lpstr>
      <vt:lpstr>DynamicRating</vt:lpstr>
      <vt:lpstr>End_Time_Criteria</vt:lpstr>
      <vt:lpstr>End_Time_ms</vt:lpstr>
      <vt:lpstr>HCT_Criteria</vt:lpstr>
      <vt:lpstr>HCT_End</vt:lpstr>
      <vt:lpstr>Head_Contact_Time</vt:lpstr>
      <vt:lpstr>heated</vt:lpstr>
      <vt:lpstr>HeightAdj</vt:lpstr>
      <vt:lpstr>HRMD_h</vt:lpstr>
      <vt:lpstr>HRMD_v</vt:lpstr>
      <vt:lpstr>IDandName</vt:lpstr>
      <vt:lpstr>LCompression</vt:lpstr>
      <vt:lpstr>LCompression_t</vt:lpstr>
      <vt:lpstr>LTension</vt:lpstr>
      <vt:lpstr>LTension_t</vt:lpstr>
      <vt:lpstr>lumbar</vt:lpstr>
      <vt:lpstr>material</vt:lpstr>
      <vt:lpstr>MaxHeadG</vt:lpstr>
      <vt:lpstr>MaxHeadG_t</vt:lpstr>
      <vt:lpstr>Maximum_Shear_Force_N_</vt:lpstr>
      <vt:lpstr>Maximum_T1_Acceleration_g_</vt:lpstr>
      <vt:lpstr>Maximum_T1_Criteria</vt:lpstr>
      <vt:lpstr>Maximum_Tension_N_</vt:lpstr>
      <vt:lpstr>MaxLFX</vt:lpstr>
      <vt:lpstr>MaxLFX_t</vt:lpstr>
      <vt:lpstr>MaxLMY</vt:lpstr>
      <vt:lpstr>MaxLMY_t</vt:lpstr>
      <vt:lpstr>MaxMY</vt:lpstr>
      <vt:lpstr>MaxMy_t</vt:lpstr>
      <vt:lpstr>MaxNeckCompression</vt:lpstr>
      <vt:lpstr>MaxNeckCompression_t</vt:lpstr>
      <vt:lpstr>MaxNeckShear</vt:lpstr>
      <vt:lpstr>MaxNeckShear_t</vt:lpstr>
      <vt:lpstr>MaxNeckTension</vt:lpstr>
      <vt:lpstr>MaxNeckTension_t</vt:lpstr>
      <vt:lpstr>MaxNIC</vt:lpstr>
      <vt:lpstr>MaxNIC_t</vt:lpstr>
      <vt:lpstr>MaxT1XG</vt:lpstr>
      <vt:lpstr>MaxT1XG_t</vt:lpstr>
      <vt:lpstr>MinLFX</vt:lpstr>
      <vt:lpstr>MinLFX_t</vt:lpstr>
      <vt:lpstr>MinLMY</vt:lpstr>
      <vt:lpstr>MinLMY_t</vt:lpstr>
      <vt:lpstr>MinMY</vt:lpstr>
      <vt:lpstr>MinMY_t</vt:lpstr>
      <vt:lpstr>MinNeckShear</vt:lpstr>
      <vt:lpstr>MinNeckShear_t</vt:lpstr>
      <vt:lpstr>NEA</vt:lpstr>
      <vt:lpstr>NEA_t</vt:lpstr>
      <vt:lpstr>Neck_Forces_Rating</vt:lpstr>
      <vt:lpstr>NEP</vt:lpstr>
      <vt:lpstr>NEP_t</vt:lpstr>
      <vt:lpstr>NFA</vt:lpstr>
      <vt:lpstr>NFA_t</vt:lpstr>
      <vt:lpstr>NFP</vt:lpstr>
      <vt:lpstr>NFP_t</vt:lpstr>
      <vt:lpstr>NIJ_NCE</vt:lpstr>
      <vt:lpstr>NIJ_NCE_t</vt:lpstr>
      <vt:lpstr>NIJ_NCF</vt:lpstr>
      <vt:lpstr>NIJ_NCF_t</vt:lpstr>
      <vt:lpstr>NIJ_NTE</vt:lpstr>
      <vt:lpstr>NIJ_NTE_t</vt:lpstr>
      <vt:lpstr>NIJ_NTF</vt:lpstr>
      <vt:lpstr>NIJ_NTF_t</vt:lpstr>
      <vt:lpstr>Overall_Rating</vt:lpstr>
      <vt:lpstr>Peak_Acceleration_Criteria</vt:lpstr>
      <vt:lpstr>Peak_Acceleration_g_</vt:lpstr>
      <vt:lpstr>Pulse!Print_Area</vt:lpstr>
      <vt:lpstr>Rating!Print_Area</vt:lpstr>
      <vt:lpstr>ProtocolFileNumber</vt:lpstr>
      <vt:lpstr>RebVel</vt:lpstr>
      <vt:lpstr>RebVel_t</vt:lpstr>
      <vt:lpstr>seatback</vt:lpstr>
      <vt:lpstr>seatheight</vt:lpstr>
      <vt:lpstr>seatpanheight</vt:lpstr>
      <vt:lpstr>seatpantilt</vt:lpstr>
      <vt:lpstr>seattilt</vt:lpstr>
      <vt:lpstr>sidebolster</vt:lpstr>
      <vt:lpstr>t0_Acceleration_Criteria</vt:lpstr>
      <vt:lpstr>t0_Acceleration_g_</vt:lpstr>
      <vt:lpstr>TestDate</vt:lpstr>
      <vt:lpstr>TestId</vt:lpstr>
      <vt:lpstr>TiltAdj</vt:lpstr>
      <vt:lpstr>TimeToHrContact</vt:lpstr>
      <vt:lpstr>track</vt:lpstr>
      <vt:lpstr>upperseatback</vt:lpstr>
      <vt:lpstr>Year_Make_Model</vt:lpstr>
    </vt:vector>
  </TitlesOfParts>
  <Company>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ssmith</dc:creator>
  <cp:lastModifiedBy>Drew Brethwaite</cp:lastModifiedBy>
  <cp:lastPrinted>2010-12-22T19:37:54Z</cp:lastPrinted>
  <dcterms:created xsi:type="dcterms:W3CDTF">2008-02-13T16:16:51Z</dcterms:created>
  <dcterms:modified xsi:type="dcterms:W3CDTF">2016-08-04T15:49:57Z</dcterms:modified>
</cp:coreProperties>
</file>